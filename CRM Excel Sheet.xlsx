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B71A7E5-DB24-4EDD-A182-3E0C72E6C8BF}" xr6:coauthVersionLast="47" xr6:coauthVersionMax="47" xr10:uidLastSave="{00000000-0000-0000-0000-000000000000}"/>
  <bookViews>
    <workbookView xWindow="-120" yWindow="-120" windowWidth="20730" windowHeight="11040" activeTab="4" xr2:uid="{BB8923C8-D5E1-4B38-A44E-77102C768292}"/>
  </bookViews>
  <sheets>
    <sheet name="Leads" sheetId="1" r:id="rId1"/>
    <sheet name="Pipeline" sheetId="2" r:id="rId2"/>
    <sheet name="Activities" sheetId="3" r:id="rId3"/>
    <sheet name="Deals" sheetId="4" r:id="rId4"/>
    <sheet name="Metric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4" l="1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<sst xmlns="http://schemas.openxmlformats.org/spreadsheetml/2006/main" count="705" uniqueCount="202">
  <si>
    <t>Lead_ID</t>
  </si>
  <si>
    <t>Name</t>
  </si>
  <si>
    <t>Email</t>
  </si>
  <si>
    <t>Phone</t>
  </si>
  <si>
    <t>Source</t>
  </si>
  <si>
    <t>Status</t>
  </si>
  <si>
    <t>Assigned_To</t>
  </si>
  <si>
    <t>Neha Verma 1</t>
  </si>
  <si>
    <t>neha.verma.1@example.com</t>
  </si>
  <si>
    <t>9043321819</t>
  </si>
  <si>
    <t>Cold Call</t>
  </si>
  <si>
    <t>New</t>
  </si>
  <si>
    <t>Amit</t>
  </si>
  <si>
    <t>Neha Verma 2</t>
  </si>
  <si>
    <t>neha.verma.2@example.com</t>
  </si>
  <si>
    <t>9338908386</t>
  </si>
  <si>
    <t>LinkedIn</t>
  </si>
  <si>
    <t>Lost</t>
  </si>
  <si>
    <t>Ravi</t>
  </si>
  <si>
    <t>Aarav Sharma 3</t>
  </si>
  <si>
    <t>aarav.sharma.3@example.com</t>
  </si>
  <si>
    <t>9265423511</t>
  </si>
  <si>
    <t>Ananya Gupta 4</t>
  </si>
  <si>
    <t>ananya.gupta.4@example.com</t>
  </si>
  <si>
    <t>9940781618</t>
  </si>
  <si>
    <t>Referral</t>
  </si>
  <si>
    <t>Qualified</t>
  </si>
  <si>
    <t>Neha</t>
  </si>
  <si>
    <t>Neha Verma 5</t>
  </si>
  <si>
    <t>neha.verma.5@example.com</t>
  </si>
  <si>
    <t>9034131647</t>
  </si>
  <si>
    <t>Contacted</t>
  </si>
  <si>
    <t>Ananya Gupta 6</t>
  </si>
  <si>
    <t>ananya.gupta.6@example.com</t>
  </si>
  <si>
    <t>9341928327</t>
  </si>
  <si>
    <t>Ananya Gupta 7</t>
  </si>
  <si>
    <t>ananya.gupta.7@example.com</t>
  </si>
  <si>
    <t>9030564139</t>
  </si>
  <si>
    <t>Simran</t>
  </si>
  <si>
    <t>Kabir Khan 8</t>
  </si>
  <si>
    <t>kabir.khan.8@example.com</t>
  </si>
  <si>
    <t>9724238849</t>
  </si>
  <si>
    <t>Priya Patel 9</t>
  </si>
  <si>
    <t>priya.patel.9@example.com</t>
  </si>
  <si>
    <t>9287101226</t>
  </si>
  <si>
    <t>Ad Campaign</t>
  </si>
  <si>
    <t>Kabir Khan 10</t>
  </si>
  <si>
    <t>kabir.khan.10@example.com</t>
  </si>
  <si>
    <t>9978480184</t>
  </si>
  <si>
    <t>Kabir Khan 11</t>
  </si>
  <si>
    <t>kabir.khan.11@example.com</t>
  </si>
  <si>
    <t>9270482814</t>
  </si>
  <si>
    <t>Ananya Gupta 12</t>
  </si>
  <si>
    <t>ananya.gupta.12@example.com</t>
  </si>
  <si>
    <t>9288095701</t>
  </si>
  <si>
    <t>Aarav Sharma 13</t>
  </si>
  <si>
    <t>aarav.sharma.13@example.com</t>
  </si>
  <si>
    <t>9391171822</t>
  </si>
  <si>
    <t>Arjun Mehta 14</t>
  </si>
  <si>
    <t>arjun.mehta.14@example.com</t>
  </si>
  <si>
    <t>9963834657</t>
  </si>
  <si>
    <t>Priya Patel 15</t>
  </si>
  <si>
    <t>priya.patel.15@example.com</t>
  </si>
  <si>
    <t>9315098393</t>
  </si>
  <si>
    <t>Website</t>
  </si>
  <si>
    <t>Priya Patel 16</t>
  </si>
  <si>
    <t>priya.patel.16@example.com</t>
  </si>
  <si>
    <t>9105183473</t>
  </si>
  <si>
    <t>Priya Patel 17</t>
  </si>
  <si>
    <t>priya.patel.17@example.com</t>
  </si>
  <si>
    <t>9763116566</t>
  </si>
  <si>
    <t>Aarav Sharma 18</t>
  </si>
  <si>
    <t>aarav.sharma.18@example.com</t>
  </si>
  <si>
    <t>9651333872</t>
  </si>
  <si>
    <t>Sara Ali 19</t>
  </si>
  <si>
    <t>sara.ali.19@example.com</t>
  </si>
  <si>
    <t>9317810801</t>
  </si>
  <si>
    <t>Sara Ali 20</t>
  </si>
  <si>
    <t>sara.ali.20@example.com</t>
  </si>
  <si>
    <t>9736026064</t>
  </si>
  <si>
    <t>Arjun Mehta 21</t>
  </si>
  <si>
    <t>arjun.mehta.21@example.com</t>
  </si>
  <si>
    <t>9723430980</t>
  </si>
  <si>
    <t>Isha Kapoor 22</t>
  </si>
  <si>
    <t>isha.kapoor.22@example.com</t>
  </si>
  <si>
    <t>9788208121</t>
  </si>
  <si>
    <t>Kabir Khan 23</t>
  </si>
  <si>
    <t>kabir.khan.23@example.com</t>
  </si>
  <si>
    <t>9193990916</t>
  </si>
  <si>
    <t>Priya Patel 24</t>
  </si>
  <si>
    <t>priya.patel.24@example.com</t>
  </si>
  <si>
    <t>9534624751</t>
  </si>
  <si>
    <t>Neha Verma 25</t>
  </si>
  <si>
    <t>neha.verma.25@example.com</t>
  </si>
  <si>
    <t>9838425135</t>
  </si>
  <si>
    <t>Arjun Mehta 26</t>
  </si>
  <si>
    <t>arjun.mehta.26@example.com</t>
  </si>
  <si>
    <t>9498084124</t>
  </si>
  <si>
    <t>Vikram Joshi 27</t>
  </si>
  <si>
    <t>vikram.joshi.27@example.com</t>
  </si>
  <si>
    <t>9493534874</t>
  </si>
  <si>
    <t>Vikram Joshi 28</t>
  </si>
  <si>
    <t>vikram.joshi.28@example.com</t>
  </si>
  <si>
    <t>9005242786</t>
  </si>
  <si>
    <t>Neha Verma 29</t>
  </si>
  <si>
    <t>neha.verma.29@example.com</t>
  </si>
  <si>
    <t>9280598262</t>
  </si>
  <si>
    <t>Aarav Sharma 30</t>
  </si>
  <si>
    <t>aarav.sharma.30@example.com</t>
  </si>
  <si>
    <t>9533158692</t>
  </si>
  <si>
    <t>Kabir Khan 31</t>
  </si>
  <si>
    <t>kabir.khan.31@example.com</t>
  </si>
  <si>
    <t>9025634216</t>
  </si>
  <si>
    <t>Priya Patel 32</t>
  </si>
  <si>
    <t>priya.patel.32@example.com</t>
  </si>
  <si>
    <t>9754330365</t>
  </si>
  <si>
    <t>Ananya Gupta 33</t>
  </si>
  <si>
    <t>ananya.gupta.33@example.com</t>
  </si>
  <si>
    <t>9868501429</t>
  </si>
  <si>
    <t>Isha Kapoor 34</t>
  </si>
  <si>
    <t>isha.kapoor.34@example.com</t>
  </si>
  <si>
    <t>9655698169</t>
  </si>
  <si>
    <t>Kabir Khan 35</t>
  </si>
  <si>
    <t>kabir.khan.35@example.com</t>
  </si>
  <si>
    <t>9088356159</t>
  </si>
  <si>
    <t>Arjun Mehta 36</t>
  </si>
  <si>
    <t>arjun.mehta.36@example.com</t>
  </si>
  <si>
    <t>9465648236</t>
  </si>
  <si>
    <t>Kabir Khan 37</t>
  </si>
  <si>
    <t>kabir.khan.37@example.com</t>
  </si>
  <si>
    <t>9804436995</t>
  </si>
  <si>
    <t>Priya Patel 38</t>
  </si>
  <si>
    <t>priya.patel.38@example.com</t>
  </si>
  <si>
    <t>9872148951</t>
  </si>
  <si>
    <t>Priya Patel 39</t>
  </si>
  <si>
    <t>priya.patel.39@example.com</t>
  </si>
  <si>
    <t>9200379176</t>
  </si>
  <si>
    <t>Sara Ali 40</t>
  </si>
  <si>
    <t>sara.ali.40@example.com</t>
  </si>
  <si>
    <t>9632016328</t>
  </si>
  <si>
    <t>Neha Verma 41</t>
  </si>
  <si>
    <t>neha.verma.41@example.com</t>
  </si>
  <si>
    <t>9727889579</t>
  </si>
  <si>
    <t>Rohit Singh 42</t>
  </si>
  <si>
    <t>rohit.singh.42@example.com</t>
  </si>
  <si>
    <t>9774348734</t>
  </si>
  <si>
    <t>Priya Patel 43</t>
  </si>
  <si>
    <t>priya.patel.43@example.com</t>
  </si>
  <si>
    <t>9455812236</t>
  </si>
  <si>
    <t>Kabir Khan 44</t>
  </si>
  <si>
    <t>kabir.khan.44@example.com</t>
  </si>
  <si>
    <t>9658760366</t>
  </si>
  <si>
    <t>Sara Ali 45</t>
  </si>
  <si>
    <t>sara.ali.45@example.com</t>
  </si>
  <si>
    <t>9054668893</t>
  </si>
  <si>
    <t>Kabir Khan 46</t>
  </si>
  <si>
    <t>kabir.khan.46@example.com</t>
  </si>
  <si>
    <t>9706562729</t>
  </si>
  <si>
    <t>Isha Kapoor 47</t>
  </si>
  <si>
    <t>isha.kapoor.47@example.com</t>
  </si>
  <si>
    <t>9901627204</t>
  </si>
  <si>
    <t>Sara Ali 48</t>
  </si>
  <si>
    <t>sara.ali.48@example.com</t>
  </si>
  <si>
    <t>9556464170</t>
  </si>
  <si>
    <t>Priya Patel 49</t>
  </si>
  <si>
    <t>priya.patel.49@example.com</t>
  </si>
  <si>
    <t>9100330923</t>
  </si>
  <si>
    <t>Isha Kapoor 50</t>
  </si>
  <si>
    <t>isha.kapoor.50@example.com</t>
  </si>
  <si>
    <t>9374529912</t>
  </si>
  <si>
    <t>Stage</t>
  </si>
  <si>
    <t>Probability</t>
  </si>
  <si>
    <t>Won</t>
  </si>
  <si>
    <t>Proposal</t>
  </si>
  <si>
    <t>New Lead</t>
  </si>
  <si>
    <t>Activity_ID</t>
  </si>
  <si>
    <t>Type</t>
  </si>
  <si>
    <t>Due_Date</t>
  </si>
  <si>
    <t>Meeting</t>
  </si>
  <si>
    <t>2026-05-02</t>
  </si>
  <si>
    <t>Pending</t>
  </si>
  <si>
    <t>2026-05-04</t>
  </si>
  <si>
    <t>Follow-up</t>
  </si>
  <si>
    <t>2026-05-06</t>
  </si>
  <si>
    <t>Done</t>
  </si>
  <si>
    <t>Call</t>
  </si>
  <si>
    <t>2026-04-30</t>
  </si>
  <si>
    <t>2026-05-01</t>
  </si>
  <si>
    <t>2026-05-05</t>
  </si>
  <si>
    <t>2026-05-03</t>
  </si>
  <si>
    <t>2026-04-28</t>
  </si>
  <si>
    <t>2026-04-29</t>
  </si>
  <si>
    <t>2026-04-27</t>
  </si>
  <si>
    <t>2026-05-07</t>
  </si>
  <si>
    <t>Deal_ID</t>
  </si>
  <si>
    <t>Amount</t>
  </si>
  <si>
    <t>Expected Revenue</t>
  </si>
  <si>
    <t>Metric</t>
  </si>
  <si>
    <t>Value</t>
  </si>
  <si>
    <t>Total Leads</t>
  </si>
  <si>
    <t>Total Activities</t>
  </si>
  <si>
    <t>Total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</si>
</sst>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645D-5845-46BA-B24C-508A987F327C}">
  <dimension ref="A1:G51"/>
  <sheetViews>
    <sheetView workbookViewId="0">
      <selection activeCell="A14" sqref="A14"/>
    </sheetView>
  </sheetViews>
  <sheetFormatPr defaultColWidth="20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10</v>
      </c>
      <c r="F4" t="s">
        <v>11</v>
      </c>
      <c r="G4" t="s">
        <v>18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t="s">
        <v>28</v>
      </c>
      <c r="C6" t="s">
        <v>29</v>
      </c>
      <c r="D6" t="s">
        <v>30</v>
      </c>
      <c r="E6" t="s">
        <v>25</v>
      </c>
      <c r="F6" t="s">
        <v>31</v>
      </c>
      <c r="G6" t="s">
        <v>18</v>
      </c>
    </row>
    <row r="7" spans="1:7" x14ac:dyDescent="0.25">
      <c r="A7">
        <v>6</v>
      </c>
      <c r="B7" t="s">
        <v>32</v>
      </c>
      <c r="C7" t="s">
        <v>33</v>
      </c>
      <c r="D7" t="s">
        <v>34</v>
      </c>
      <c r="E7" t="s">
        <v>10</v>
      </c>
      <c r="F7" t="s">
        <v>26</v>
      </c>
      <c r="G7" t="s">
        <v>27</v>
      </c>
    </row>
    <row r="8" spans="1:7" x14ac:dyDescent="0.25">
      <c r="A8">
        <v>7</v>
      </c>
      <c r="B8" t="s">
        <v>35</v>
      </c>
      <c r="C8" t="s">
        <v>36</v>
      </c>
      <c r="D8" t="s">
        <v>37</v>
      </c>
      <c r="E8" t="s">
        <v>25</v>
      </c>
      <c r="F8" t="s">
        <v>31</v>
      </c>
      <c r="G8" t="s">
        <v>38</v>
      </c>
    </row>
    <row r="9" spans="1:7" x14ac:dyDescent="0.25">
      <c r="A9">
        <v>8</v>
      </c>
      <c r="B9" t="s">
        <v>39</v>
      </c>
      <c r="C9" t="s">
        <v>40</v>
      </c>
      <c r="D9" t="s">
        <v>41</v>
      </c>
      <c r="E9" t="s">
        <v>10</v>
      </c>
      <c r="F9" t="s">
        <v>17</v>
      </c>
      <c r="G9" t="s">
        <v>18</v>
      </c>
    </row>
    <row r="10" spans="1:7" x14ac:dyDescent="0.25">
      <c r="A10">
        <v>9</v>
      </c>
      <c r="B10" t="s">
        <v>42</v>
      </c>
      <c r="C10" t="s">
        <v>43</v>
      </c>
      <c r="D10" t="s">
        <v>44</v>
      </c>
      <c r="E10" t="s">
        <v>45</v>
      </c>
      <c r="F10" t="s">
        <v>11</v>
      </c>
      <c r="G10" t="s">
        <v>38</v>
      </c>
    </row>
    <row r="11" spans="1:7" x14ac:dyDescent="0.25">
      <c r="A11">
        <v>10</v>
      </c>
      <c r="B11" t="s">
        <v>46</v>
      </c>
      <c r="C11" t="s">
        <v>47</v>
      </c>
      <c r="D11" t="s">
        <v>48</v>
      </c>
      <c r="E11" t="s">
        <v>25</v>
      </c>
      <c r="F11" t="s">
        <v>11</v>
      </c>
      <c r="G11" t="s">
        <v>18</v>
      </c>
    </row>
    <row r="12" spans="1:7" x14ac:dyDescent="0.25">
      <c r="A12">
        <v>11</v>
      </c>
      <c r="B12" t="s">
        <v>49</v>
      </c>
      <c r="C12" t="s">
        <v>50</v>
      </c>
      <c r="D12" t="s">
        <v>51</v>
      </c>
      <c r="E12" t="s">
        <v>45</v>
      </c>
      <c r="F12" t="s">
        <v>31</v>
      </c>
      <c r="G12" t="s">
        <v>27</v>
      </c>
    </row>
    <row r="13" spans="1:7" x14ac:dyDescent="0.25">
      <c r="A13">
        <v>12</v>
      </c>
      <c r="B13" t="s">
        <v>52</v>
      </c>
      <c r="C13" t="s">
        <v>53</v>
      </c>
      <c r="D13" t="s">
        <v>54</v>
      </c>
      <c r="E13" t="s">
        <v>25</v>
      </c>
      <c r="F13" t="s">
        <v>26</v>
      </c>
      <c r="G13" t="s">
        <v>27</v>
      </c>
    </row>
    <row r="14" spans="1:7" x14ac:dyDescent="0.25">
      <c r="A14">
        <v>13</v>
      </c>
      <c r="B14" t="s">
        <v>55</v>
      </c>
      <c r="C14" t="s">
        <v>56</v>
      </c>
      <c r="D14" t="s">
        <v>57</v>
      </c>
      <c r="E14" t="s">
        <v>10</v>
      </c>
      <c r="F14" t="s">
        <v>31</v>
      </c>
      <c r="G14" t="s">
        <v>18</v>
      </c>
    </row>
    <row r="15" spans="1:7" x14ac:dyDescent="0.25">
      <c r="A15">
        <v>14</v>
      </c>
      <c r="B15" t="s">
        <v>58</v>
      </c>
      <c r="C15" t="s">
        <v>59</v>
      </c>
      <c r="D15" t="s">
        <v>60</v>
      </c>
      <c r="E15" t="s">
        <v>45</v>
      </c>
      <c r="F15" t="s">
        <v>17</v>
      </c>
      <c r="G15" t="s">
        <v>12</v>
      </c>
    </row>
    <row r="16" spans="1:7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11</v>
      </c>
      <c r="G16" t="s">
        <v>12</v>
      </c>
    </row>
    <row r="17" spans="1:7" x14ac:dyDescent="0.25">
      <c r="A17">
        <v>16</v>
      </c>
      <c r="B17" t="s">
        <v>65</v>
      </c>
      <c r="C17" t="s">
        <v>66</v>
      </c>
      <c r="D17" t="s">
        <v>67</v>
      </c>
      <c r="E17" t="s">
        <v>45</v>
      </c>
      <c r="F17" t="s">
        <v>31</v>
      </c>
      <c r="G17" t="s">
        <v>38</v>
      </c>
    </row>
    <row r="18" spans="1:7" x14ac:dyDescent="0.25">
      <c r="A18">
        <v>17</v>
      </c>
      <c r="B18" t="s">
        <v>68</v>
      </c>
      <c r="C18" t="s">
        <v>69</v>
      </c>
      <c r="D18" t="s">
        <v>70</v>
      </c>
      <c r="E18" t="s">
        <v>10</v>
      </c>
      <c r="F18" t="s">
        <v>11</v>
      </c>
      <c r="G18" t="s">
        <v>12</v>
      </c>
    </row>
    <row r="19" spans="1:7" x14ac:dyDescent="0.25">
      <c r="A19">
        <v>18</v>
      </c>
      <c r="B19" t="s">
        <v>71</v>
      </c>
      <c r="C19" t="s">
        <v>72</v>
      </c>
      <c r="D19" t="s">
        <v>73</v>
      </c>
      <c r="E19" t="s">
        <v>10</v>
      </c>
      <c r="F19" t="s">
        <v>31</v>
      </c>
      <c r="G19" t="s">
        <v>18</v>
      </c>
    </row>
    <row r="20" spans="1:7" x14ac:dyDescent="0.25">
      <c r="A20">
        <v>19</v>
      </c>
      <c r="B20" t="s">
        <v>74</v>
      </c>
      <c r="C20" t="s">
        <v>75</v>
      </c>
      <c r="D20" t="s">
        <v>76</v>
      </c>
      <c r="E20" t="s">
        <v>16</v>
      </c>
      <c r="F20" t="s">
        <v>31</v>
      </c>
      <c r="G20" t="s">
        <v>38</v>
      </c>
    </row>
    <row r="21" spans="1:7" x14ac:dyDescent="0.25">
      <c r="A21">
        <v>20</v>
      </c>
      <c r="B21" t="s">
        <v>77</v>
      </c>
      <c r="C21" t="s">
        <v>78</v>
      </c>
      <c r="D21" t="s">
        <v>79</v>
      </c>
      <c r="E21" t="s">
        <v>10</v>
      </c>
      <c r="F21" t="s">
        <v>26</v>
      </c>
      <c r="G21" t="s">
        <v>38</v>
      </c>
    </row>
    <row r="22" spans="1:7" x14ac:dyDescent="0.25">
      <c r="A22">
        <v>21</v>
      </c>
      <c r="B22" t="s">
        <v>80</v>
      </c>
      <c r="C22" t="s">
        <v>81</v>
      </c>
      <c r="D22" t="s">
        <v>82</v>
      </c>
      <c r="E22" t="s">
        <v>25</v>
      </c>
      <c r="F22" t="s">
        <v>11</v>
      </c>
      <c r="G22" t="s">
        <v>12</v>
      </c>
    </row>
    <row r="23" spans="1:7" x14ac:dyDescent="0.25">
      <c r="A23">
        <v>22</v>
      </c>
      <c r="B23" t="s">
        <v>83</v>
      </c>
      <c r="C23" t="s">
        <v>84</v>
      </c>
      <c r="D23" t="s">
        <v>85</v>
      </c>
      <c r="E23" t="s">
        <v>45</v>
      </c>
      <c r="F23" t="s">
        <v>11</v>
      </c>
      <c r="G23" t="s">
        <v>27</v>
      </c>
    </row>
    <row r="24" spans="1:7" x14ac:dyDescent="0.25">
      <c r="A24">
        <v>23</v>
      </c>
      <c r="B24" t="s">
        <v>86</v>
      </c>
      <c r="C24" t="s">
        <v>87</v>
      </c>
      <c r="D24" t="s">
        <v>88</v>
      </c>
      <c r="E24" t="s">
        <v>45</v>
      </c>
      <c r="F24" t="s">
        <v>26</v>
      </c>
      <c r="G24" t="s">
        <v>18</v>
      </c>
    </row>
    <row r="25" spans="1:7" x14ac:dyDescent="0.25">
      <c r="A25">
        <v>24</v>
      </c>
      <c r="B25" t="s">
        <v>89</v>
      </c>
      <c r="C25" t="s">
        <v>90</v>
      </c>
      <c r="D25" t="s">
        <v>91</v>
      </c>
      <c r="E25" t="s">
        <v>64</v>
      </c>
      <c r="F25" t="s">
        <v>17</v>
      </c>
      <c r="G25" t="s">
        <v>12</v>
      </c>
    </row>
    <row r="26" spans="1:7" x14ac:dyDescent="0.25">
      <c r="A26">
        <v>25</v>
      </c>
      <c r="B26" t="s">
        <v>92</v>
      </c>
      <c r="C26" t="s">
        <v>93</v>
      </c>
      <c r="D26" t="s">
        <v>94</v>
      </c>
      <c r="E26" t="s">
        <v>25</v>
      </c>
      <c r="F26" t="s">
        <v>31</v>
      </c>
      <c r="G26" t="s">
        <v>38</v>
      </c>
    </row>
    <row r="27" spans="1:7" x14ac:dyDescent="0.25">
      <c r="A27">
        <v>26</v>
      </c>
      <c r="B27" t="s">
        <v>95</v>
      </c>
      <c r="C27" t="s">
        <v>96</v>
      </c>
      <c r="D27" t="s">
        <v>97</v>
      </c>
      <c r="E27" t="s">
        <v>64</v>
      </c>
      <c r="F27" t="s">
        <v>11</v>
      </c>
      <c r="G27" t="s">
        <v>27</v>
      </c>
    </row>
    <row r="28" spans="1:7" x14ac:dyDescent="0.25">
      <c r="A28">
        <v>27</v>
      </c>
      <c r="B28" t="s">
        <v>98</v>
      </c>
      <c r="C28" t="s">
        <v>99</v>
      </c>
      <c r="D28" t="s">
        <v>100</v>
      </c>
      <c r="E28" t="s">
        <v>64</v>
      </c>
      <c r="F28" t="s">
        <v>11</v>
      </c>
      <c r="G28" t="s">
        <v>38</v>
      </c>
    </row>
    <row r="29" spans="1:7" x14ac:dyDescent="0.25">
      <c r="A29">
        <v>28</v>
      </c>
      <c r="B29" t="s">
        <v>101</v>
      </c>
      <c r="C29" t="s">
        <v>102</v>
      </c>
      <c r="D29" t="s">
        <v>103</v>
      </c>
      <c r="E29" t="s">
        <v>45</v>
      </c>
      <c r="F29" t="s">
        <v>11</v>
      </c>
      <c r="G29" t="s">
        <v>12</v>
      </c>
    </row>
    <row r="30" spans="1:7" x14ac:dyDescent="0.25">
      <c r="A30">
        <v>29</v>
      </c>
      <c r="B30" t="s">
        <v>104</v>
      </c>
      <c r="C30" t="s">
        <v>105</v>
      </c>
      <c r="D30" t="s">
        <v>106</v>
      </c>
      <c r="E30" t="s">
        <v>64</v>
      </c>
      <c r="F30" t="s">
        <v>26</v>
      </c>
      <c r="G30" t="s">
        <v>18</v>
      </c>
    </row>
    <row r="31" spans="1:7" x14ac:dyDescent="0.25">
      <c r="A31">
        <v>30</v>
      </c>
      <c r="B31" t="s">
        <v>107</v>
      </c>
      <c r="C31" t="s">
        <v>108</v>
      </c>
      <c r="D31" t="s">
        <v>109</v>
      </c>
      <c r="E31" t="s">
        <v>16</v>
      </c>
      <c r="F31" t="s">
        <v>31</v>
      </c>
      <c r="G31" t="s">
        <v>27</v>
      </c>
    </row>
    <row r="32" spans="1:7" x14ac:dyDescent="0.25">
      <c r="A32">
        <v>31</v>
      </c>
      <c r="B32" t="s">
        <v>110</v>
      </c>
      <c r="C32" t="s">
        <v>111</v>
      </c>
      <c r="D32" t="s">
        <v>112</v>
      </c>
      <c r="E32" t="s">
        <v>64</v>
      </c>
      <c r="F32" t="s">
        <v>17</v>
      </c>
      <c r="G32" t="s">
        <v>27</v>
      </c>
    </row>
    <row r="33" spans="1:7" x14ac:dyDescent="0.25">
      <c r="A33">
        <v>32</v>
      </c>
      <c r="B33" t="s">
        <v>113</v>
      </c>
      <c r="C33" t="s">
        <v>114</v>
      </c>
      <c r="D33" t="s">
        <v>115</v>
      </c>
      <c r="E33" t="s">
        <v>25</v>
      </c>
      <c r="F33" t="s">
        <v>11</v>
      </c>
      <c r="G33" t="s">
        <v>18</v>
      </c>
    </row>
    <row r="34" spans="1:7" x14ac:dyDescent="0.25">
      <c r="A34">
        <v>33</v>
      </c>
      <c r="B34" t="s">
        <v>116</v>
      </c>
      <c r="C34" t="s">
        <v>117</v>
      </c>
      <c r="D34" t="s">
        <v>118</v>
      </c>
      <c r="E34" t="s">
        <v>25</v>
      </c>
      <c r="F34" t="s">
        <v>11</v>
      </c>
      <c r="G34" t="s">
        <v>12</v>
      </c>
    </row>
    <row r="35" spans="1:7" x14ac:dyDescent="0.25">
      <c r="A35">
        <v>34</v>
      </c>
      <c r="B35" t="s">
        <v>119</v>
      </c>
      <c r="C35" t="s">
        <v>120</v>
      </c>
      <c r="D35" t="s">
        <v>121</v>
      </c>
      <c r="E35" t="s">
        <v>16</v>
      </c>
      <c r="F35" t="s">
        <v>26</v>
      </c>
      <c r="G35" t="s">
        <v>12</v>
      </c>
    </row>
    <row r="36" spans="1:7" x14ac:dyDescent="0.25">
      <c r="A36">
        <v>35</v>
      </c>
      <c r="B36" t="s">
        <v>122</v>
      </c>
      <c r="C36" t="s">
        <v>123</v>
      </c>
      <c r="D36" t="s">
        <v>124</v>
      </c>
      <c r="E36" t="s">
        <v>25</v>
      </c>
      <c r="F36" t="s">
        <v>11</v>
      </c>
      <c r="G36" t="s">
        <v>18</v>
      </c>
    </row>
    <row r="37" spans="1:7" x14ac:dyDescent="0.25">
      <c r="A37">
        <v>36</v>
      </c>
      <c r="B37" t="s">
        <v>125</v>
      </c>
      <c r="C37" t="s">
        <v>126</v>
      </c>
      <c r="D37" t="s">
        <v>127</v>
      </c>
      <c r="E37" t="s">
        <v>10</v>
      </c>
      <c r="F37" t="s">
        <v>31</v>
      </c>
      <c r="G37" t="s">
        <v>18</v>
      </c>
    </row>
    <row r="38" spans="1:7" x14ac:dyDescent="0.25">
      <c r="A38">
        <v>37</v>
      </c>
      <c r="B38" t="s">
        <v>128</v>
      </c>
      <c r="C38" t="s">
        <v>129</v>
      </c>
      <c r="D38" t="s">
        <v>130</v>
      </c>
      <c r="E38" t="s">
        <v>10</v>
      </c>
      <c r="F38" t="s">
        <v>17</v>
      </c>
      <c r="G38" t="s">
        <v>38</v>
      </c>
    </row>
    <row r="39" spans="1:7" x14ac:dyDescent="0.25">
      <c r="A39">
        <v>38</v>
      </c>
      <c r="B39" t="s">
        <v>131</v>
      </c>
      <c r="C39" t="s">
        <v>132</v>
      </c>
      <c r="D39" t="s">
        <v>133</v>
      </c>
      <c r="E39" t="s">
        <v>16</v>
      </c>
      <c r="F39" t="s">
        <v>26</v>
      </c>
      <c r="G39" t="s">
        <v>27</v>
      </c>
    </row>
    <row r="40" spans="1:7" x14ac:dyDescent="0.25">
      <c r="A40">
        <v>39</v>
      </c>
      <c r="B40" t="s">
        <v>134</v>
      </c>
      <c r="C40" t="s">
        <v>135</v>
      </c>
      <c r="D40" t="s">
        <v>136</v>
      </c>
      <c r="E40" t="s">
        <v>45</v>
      </c>
      <c r="F40" t="s">
        <v>31</v>
      </c>
      <c r="G40" t="s">
        <v>38</v>
      </c>
    </row>
    <row r="41" spans="1:7" x14ac:dyDescent="0.25">
      <c r="A41">
        <v>40</v>
      </c>
      <c r="B41" t="s">
        <v>137</v>
      </c>
      <c r="C41" t="s">
        <v>138</v>
      </c>
      <c r="D41" t="s">
        <v>139</v>
      </c>
      <c r="E41" t="s">
        <v>10</v>
      </c>
      <c r="F41" t="s">
        <v>11</v>
      </c>
      <c r="G41" t="s">
        <v>27</v>
      </c>
    </row>
    <row r="42" spans="1:7" x14ac:dyDescent="0.25">
      <c r="A42">
        <v>41</v>
      </c>
      <c r="B42" t="s">
        <v>140</v>
      </c>
      <c r="C42" t="s">
        <v>141</v>
      </c>
      <c r="D42" t="s">
        <v>142</v>
      </c>
      <c r="E42" t="s">
        <v>45</v>
      </c>
      <c r="F42" t="s">
        <v>17</v>
      </c>
      <c r="G42" t="s">
        <v>38</v>
      </c>
    </row>
    <row r="43" spans="1:7" x14ac:dyDescent="0.25">
      <c r="A43">
        <v>42</v>
      </c>
      <c r="B43" t="s">
        <v>143</v>
      </c>
      <c r="C43" t="s">
        <v>144</v>
      </c>
      <c r="D43" t="s">
        <v>145</v>
      </c>
      <c r="E43" t="s">
        <v>10</v>
      </c>
      <c r="F43" t="s">
        <v>11</v>
      </c>
      <c r="G43" t="s">
        <v>18</v>
      </c>
    </row>
    <row r="44" spans="1:7" x14ac:dyDescent="0.25">
      <c r="A44">
        <v>43</v>
      </c>
      <c r="B44" t="s">
        <v>146</v>
      </c>
      <c r="C44" t="s">
        <v>147</v>
      </c>
      <c r="D44" t="s">
        <v>148</v>
      </c>
      <c r="E44" t="s">
        <v>16</v>
      </c>
      <c r="F44" t="s">
        <v>31</v>
      </c>
      <c r="G44" t="s">
        <v>12</v>
      </c>
    </row>
    <row r="45" spans="1:7" x14ac:dyDescent="0.25">
      <c r="A45">
        <v>44</v>
      </c>
      <c r="B45" t="s">
        <v>149</v>
      </c>
      <c r="C45" t="s">
        <v>150</v>
      </c>
      <c r="D45" t="s">
        <v>151</v>
      </c>
      <c r="E45" t="s">
        <v>45</v>
      </c>
      <c r="F45" t="s">
        <v>11</v>
      </c>
      <c r="G45" t="s">
        <v>38</v>
      </c>
    </row>
    <row r="46" spans="1:7" x14ac:dyDescent="0.25">
      <c r="A46">
        <v>45</v>
      </c>
      <c r="B46" t="s">
        <v>152</v>
      </c>
      <c r="C46" t="s">
        <v>153</v>
      </c>
      <c r="D46" t="s">
        <v>154</v>
      </c>
      <c r="E46" t="s">
        <v>10</v>
      </c>
      <c r="F46" t="s">
        <v>31</v>
      </c>
      <c r="G46" t="s">
        <v>18</v>
      </c>
    </row>
    <row r="47" spans="1:7" x14ac:dyDescent="0.25">
      <c r="A47">
        <v>46</v>
      </c>
      <c r="B47" t="s">
        <v>155</v>
      </c>
      <c r="C47" t="s">
        <v>156</v>
      </c>
      <c r="D47" t="s">
        <v>157</v>
      </c>
      <c r="E47" t="s">
        <v>45</v>
      </c>
      <c r="F47" t="s">
        <v>11</v>
      </c>
      <c r="G47" t="s">
        <v>38</v>
      </c>
    </row>
    <row r="48" spans="1:7" x14ac:dyDescent="0.25">
      <c r="A48">
        <v>47</v>
      </c>
      <c r="B48" t="s">
        <v>158</v>
      </c>
      <c r="C48" t="s">
        <v>159</v>
      </c>
      <c r="D48" t="s">
        <v>160</v>
      </c>
      <c r="E48" t="s">
        <v>10</v>
      </c>
      <c r="F48" t="s">
        <v>26</v>
      </c>
      <c r="G48" t="s">
        <v>27</v>
      </c>
    </row>
    <row r="49" spans="1:7" x14ac:dyDescent="0.25">
      <c r="A49">
        <v>48</v>
      </c>
      <c r="B49" t="s">
        <v>161</v>
      </c>
      <c r="C49" t="s">
        <v>162</v>
      </c>
      <c r="D49" t="s">
        <v>163</v>
      </c>
      <c r="E49" t="s">
        <v>45</v>
      </c>
      <c r="F49" t="s">
        <v>11</v>
      </c>
      <c r="G49" t="s">
        <v>18</v>
      </c>
    </row>
    <row r="50" spans="1:7" x14ac:dyDescent="0.25">
      <c r="A50">
        <v>49</v>
      </c>
      <c r="B50" t="s">
        <v>164</v>
      </c>
      <c r="C50" t="s">
        <v>165</v>
      </c>
      <c r="D50" t="s">
        <v>166</v>
      </c>
      <c r="E50" t="s">
        <v>16</v>
      </c>
      <c r="F50" t="s">
        <v>17</v>
      </c>
      <c r="G50" t="s">
        <v>12</v>
      </c>
    </row>
    <row r="51" spans="1:7" x14ac:dyDescent="0.25">
      <c r="A51">
        <v>50</v>
      </c>
      <c r="B51" t="s">
        <v>167</v>
      </c>
      <c r="C51" t="s">
        <v>168</v>
      </c>
      <c r="D51" t="s">
        <v>169</v>
      </c>
      <c r="E51" t="s">
        <v>25</v>
      </c>
      <c r="F51" t="s">
        <v>11</v>
      </c>
      <c r="G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F3AF-272B-4DD5-BBC5-4CF9E1E5D10F}">
  <dimension ref="A1:C51"/>
  <sheetViews>
    <sheetView workbookViewId="0">
      <selection activeCell="C3" sqref="C3"/>
    </sheetView>
  </sheetViews>
  <sheetFormatPr defaultColWidth="29.140625" defaultRowHeight="15" x14ac:dyDescent="0.25"/>
  <sheetData>
    <row r="1" spans="1:3" x14ac:dyDescent="0.25">
      <c r="A1" t="s">
        <v>0</v>
      </c>
      <c r="B1" t="s">
        <v>170</v>
      </c>
      <c r="C1" t="s">
        <v>171</v>
      </c>
    </row>
    <row r="2" spans="1:3" x14ac:dyDescent="0.25">
      <c r="A2">
        <v>1</v>
      </c>
      <c r="B2" t="s">
        <v>26</v>
      </c>
      <c r="C2" t="str">
        <f>IF(B2="New Lead","10%",
IF(B2="Contacted","30%",
IF(B2="Qualified","50%",
IF(B2="Proposal","70%",
IF(B2="Won","100%",
IF(B2="Lost","0%",""))))))</f>
        <v>50%</v>
      </c>
    </row>
    <row r="3" spans="1:3" x14ac:dyDescent="0.25">
      <c r="A3">
        <v>2</v>
      </c>
      <c r="B3" t="s">
        <v>172</v>
      </c>
      <c r="C3" t="str">
        <f t="shared" ref="C3:C51" si="0">IF(B3="New Lead","10%",
IF(B3="Contacted","30%",
IF(B3="Qualified","50%",
IF(B3="Proposal","70%",
IF(B3="Won","100%",
IF(B3="Lost","0%",""))))))</f>
        <v>100%</v>
      </c>
    </row>
    <row r="4" spans="1:3" x14ac:dyDescent="0.25">
      <c r="A4">
        <v>3</v>
      </c>
      <c r="B4" t="s">
        <v>17</v>
      </c>
      <c r="C4" t="str">
        <f t="shared" si="0"/>
        <v>0%</v>
      </c>
    </row>
    <row r="5" spans="1:3" x14ac:dyDescent="0.25">
      <c r="A5">
        <v>4</v>
      </c>
      <c r="B5" t="s">
        <v>173</v>
      </c>
      <c r="C5" t="str">
        <f t="shared" si="0"/>
        <v>70%</v>
      </c>
    </row>
    <row r="6" spans="1:3" x14ac:dyDescent="0.25">
      <c r="A6">
        <v>5</v>
      </c>
      <c r="B6" t="s">
        <v>173</v>
      </c>
      <c r="C6" t="str">
        <f t="shared" si="0"/>
        <v>70%</v>
      </c>
    </row>
    <row r="7" spans="1:3" x14ac:dyDescent="0.25">
      <c r="A7">
        <v>6</v>
      </c>
      <c r="B7" t="s">
        <v>17</v>
      </c>
      <c r="C7" t="str">
        <f t="shared" si="0"/>
        <v>0%</v>
      </c>
    </row>
    <row r="8" spans="1:3" x14ac:dyDescent="0.25">
      <c r="A8">
        <v>7</v>
      </c>
      <c r="B8" t="s">
        <v>31</v>
      </c>
      <c r="C8" t="str">
        <f t="shared" si="0"/>
        <v>30%</v>
      </c>
    </row>
    <row r="9" spans="1:3" x14ac:dyDescent="0.25">
      <c r="A9">
        <v>8</v>
      </c>
      <c r="B9" t="s">
        <v>174</v>
      </c>
      <c r="C9" t="str">
        <f t="shared" si="0"/>
        <v>10%</v>
      </c>
    </row>
    <row r="10" spans="1:3" x14ac:dyDescent="0.25">
      <c r="A10">
        <v>9</v>
      </c>
      <c r="B10" t="s">
        <v>172</v>
      </c>
      <c r="C10" t="str">
        <f t="shared" si="0"/>
        <v>100%</v>
      </c>
    </row>
    <row r="11" spans="1:3" x14ac:dyDescent="0.25">
      <c r="A11">
        <v>10</v>
      </c>
      <c r="B11" t="s">
        <v>17</v>
      </c>
      <c r="C11" t="str">
        <f t="shared" si="0"/>
        <v>0%</v>
      </c>
    </row>
    <row r="12" spans="1:3" x14ac:dyDescent="0.25">
      <c r="A12">
        <v>11</v>
      </c>
      <c r="B12" t="s">
        <v>17</v>
      </c>
      <c r="C12" t="str">
        <f t="shared" si="0"/>
        <v>0%</v>
      </c>
    </row>
    <row r="13" spans="1:3" x14ac:dyDescent="0.25">
      <c r="A13">
        <v>12</v>
      </c>
      <c r="B13" t="s">
        <v>31</v>
      </c>
      <c r="C13" t="str">
        <f t="shared" si="0"/>
        <v>30%</v>
      </c>
    </row>
    <row r="14" spans="1:3" x14ac:dyDescent="0.25">
      <c r="A14">
        <v>13</v>
      </c>
      <c r="B14" t="s">
        <v>174</v>
      </c>
      <c r="C14" t="str">
        <f t="shared" si="0"/>
        <v>10%</v>
      </c>
    </row>
    <row r="15" spans="1:3" x14ac:dyDescent="0.25">
      <c r="A15">
        <v>14</v>
      </c>
      <c r="B15" t="s">
        <v>17</v>
      </c>
      <c r="C15" t="str">
        <f t="shared" si="0"/>
        <v>0%</v>
      </c>
    </row>
    <row r="16" spans="1:3" x14ac:dyDescent="0.25">
      <c r="A16">
        <v>15</v>
      </c>
      <c r="B16" t="s">
        <v>26</v>
      </c>
      <c r="C16" t="str">
        <f t="shared" si="0"/>
        <v>50%</v>
      </c>
    </row>
    <row r="17" spans="1:3" x14ac:dyDescent="0.25">
      <c r="A17">
        <v>16</v>
      </c>
      <c r="B17" t="s">
        <v>17</v>
      </c>
      <c r="C17" t="str">
        <f t="shared" si="0"/>
        <v>0%</v>
      </c>
    </row>
    <row r="18" spans="1:3" x14ac:dyDescent="0.25">
      <c r="A18">
        <v>17</v>
      </c>
      <c r="B18" t="s">
        <v>172</v>
      </c>
      <c r="C18" t="str">
        <f t="shared" si="0"/>
        <v>100%</v>
      </c>
    </row>
    <row r="19" spans="1:3" x14ac:dyDescent="0.25">
      <c r="A19">
        <v>18</v>
      </c>
      <c r="B19" t="s">
        <v>174</v>
      </c>
      <c r="C19" t="str">
        <f t="shared" si="0"/>
        <v>10%</v>
      </c>
    </row>
    <row r="20" spans="1:3" x14ac:dyDescent="0.25">
      <c r="A20">
        <v>19</v>
      </c>
      <c r="B20" t="s">
        <v>172</v>
      </c>
      <c r="C20" t="str">
        <f t="shared" si="0"/>
        <v>100%</v>
      </c>
    </row>
    <row r="21" spans="1:3" x14ac:dyDescent="0.25">
      <c r="A21">
        <v>20</v>
      </c>
      <c r="B21" t="s">
        <v>174</v>
      </c>
      <c r="C21" t="str">
        <f t="shared" si="0"/>
        <v>10%</v>
      </c>
    </row>
    <row r="22" spans="1:3" x14ac:dyDescent="0.25">
      <c r="A22">
        <v>21</v>
      </c>
      <c r="B22" t="s">
        <v>26</v>
      </c>
      <c r="C22" t="str">
        <f t="shared" si="0"/>
        <v>50%</v>
      </c>
    </row>
    <row r="23" spans="1:3" x14ac:dyDescent="0.25">
      <c r="A23">
        <v>22</v>
      </c>
      <c r="B23" t="s">
        <v>172</v>
      </c>
      <c r="C23" t="str">
        <f t="shared" si="0"/>
        <v>100%</v>
      </c>
    </row>
    <row r="24" spans="1:3" x14ac:dyDescent="0.25">
      <c r="A24">
        <v>23</v>
      </c>
      <c r="B24" t="s">
        <v>173</v>
      </c>
      <c r="C24" t="str">
        <f t="shared" si="0"/>
        <v>70%</v>
      </c>
    </row>
    <row r="25" spans="1:3" x14ac:dyDescent="0.25">
      <c r="A25">
        <v>24</v>
      </c>
      <c r="B25" t="s">
        <v>17</v>
      </c>
      <c r="C25" t="str">
        <f t="shared" si="0"/>
        <v>0%</v>
      </c>
    </row>
    <row r="26" spans="1:3" x14ac:dyDescent="0.25">
      <c r="A26">
        <v>25</v>
      </c>
      <c r="B26" t="s">
        <v>26</v>
      </c>
      <c r="C26" t="str">
        <f t="shared" si="0"/>
        <v>50%</v>
      </c>
    </row>
    <row r="27" spans="1:3" x14ac:dyDescent="0.25">
      <c r="A27">
        <v>26</v>
      </c>
      <c r="B27" t="s">
        <v>174</v>
      </c>
      <c r="C27" t="str">
        <f t="shared" si="0"/>
        <v>10%</v>
      </c>
    </row>
    <row r="28" spans="1:3" x14ac:dyDescent="0.25">
      <c r="A28">
        <v>27</v>
      </c>
      <c r="B28" t="s">
        <v>172</v>
      </c>
      <c r="C28" t="str">
        <f t="shared" si="0"/>
        <v>100%</v>
      </c>
    </row>
    <row r="29" spans="1:3" x14ac:dyDescent="0.25">
      <c r="A29">
        <v>28</v>
      </c>
      <c r="B29" t="s">
        <v>17</v>
      </c>
      <c r="C29" t="str">
        <f t="shared" si="0"/>
        <v>0%</v>
      </c>
    </row>
    <row r="30" spans="1:3" x14ac:dyDescent="0.25">
      <c r="A30">
        <v>29</v>
      </c>
      <c r="B30" t="s">
        <v>26</v>
      </c>
      <c r="C30" t="str">
        <f t="shared" si="0"/>
        <v>50%</v>
      </c>
    </row>
    <row r="31" spans="1:3" x14ac:dyDescent="0.25">
      <c r="A31">
        <v>30</v>
      </c>
      <c r="B31" t="s">
        <v>174</v>
      </c>
      <c r="C31" t="str">
        <f t="shared" si="0"/>
        <v>10%</v>
      </c>
    </row>
    <row r="32" spans="1:3" x14ac:dyDescent="0.25">
      <c r="A32">
        <v>31</v>
      </c>
      <c r="B32" t="s">
        <v>173</v>
      </c>
      <c r="C32" t="str">
        <f t="shared" si="0"/>
        <v>70%</v>
      </c>
    </row>
    <row r="33" spans="1:3" x14ac:dyDescent="0.25">
      <c r="A33">
        <v>32</v>
      </c>
      <c r="B33" t="s">
        <v>173</v>
      </c>
      <c r="C33" t="str">
        <f t="shared" si="0"/>
        <v>70%</v>
      </c>
    </row>
    <row r="34" spans="1:3" x14ac:dyDescent="0.25">
      <c r="A34">
        <v>33</v>
      </c>
      <c r="B34" t="s">
        <v>174</v>
      </c>
      <c r="C34" t="str">
        <f t="shared" si="0"/>
        <v>10%</v>
      </c>
    </row>
    <row r="35" spans="1:3" x14ac:dyDescent="0.25">
      <c r="A35">
        <v>34</v>
      </c>
      <c r="B35" t="s">
        <v>173</v>
      </c>
      <c r="C35" t="str">
        <f t="shared" si="0"/>
        <v>70%</v>
      </c>
    </row>
    <row r="36" spans="1:3" x14ac:dyDescent="0.25">
      <c r="A36">
        <v>35</v>
      </c>
      <c r="B36" t="s">
        <v>26</v>
      </c>
      <c r="C36" t="str">
        <f t="shared" si="0"/>
        <v>50%</v>
      </c>
    </row>
    <row r="37" spans="1:3" x14ac:dyDescent="0.25">
      <c r="A37">
        <v>36</v>
      </c>
      <c r="B37" t="s">
        <v>17</v>
      </c>
      <c r="C37" t="str">
        <f t="shared" si="0"/>
        <v>0%</v>
      </c>
    </row>
    <row r="38" spans="1:3" x14ac:dyDescent="0.25">
      <c r="A38">
        <v>37</v>
      </c>
      <c r="B38" t="s">
        <v>173</v>
      </c>
      <c r="C38" t="str">
        <f t="shared" si="0"/>
        <v>70%</v>
      </c>
    </row>
    <row r="39" spans="1:3" x14ac:dyDescent="0.25">
      <c r="A39">
        <v>38</v>
      </c>
      <c r="B39" t="s">
        <v>17</v>
      </c>
      <c r="C39" t="str">
        <f t="shared" si="0"/>
        <v>0%</v>
      </c>
    </row>
    <row r="40" spans="1:3" x14ac:dyDescent="0.25">
      <c r="A40">
        <v>39</v>
      </c>
      <c r="B40" t="s">
        <v>31</v>
      </c>
      <c r="C40" t="str">
        <f t="shared" si="0"/>
        <v>30%</v>
      </c>
    </row>
    <row r="41" spans="1:3" x14ac:dyDescent="0.25">
      <c r="A41">
        <v>40</v>
      </c>
      <c r="B41" t="s">
        <v>173</v>
      </c>
      <c r="C41" t="str">
        <f t="shared" si="0"/>
        <v>70%</v>
      </c>
    </row>
    <row r="42" spans="1:3" x14ac:dyDescent="0.25">
      <c r="A42">
        <v>41</v>
      </c>
      <c r="B42" t="s">
        <v>31</v>
      </c>
      <c r="C42" t="str">
        <f t="shared" si="0"/>
        <v>30%</v>
      </c>
    </row>
    <row r="43" spans="1:3" x14ac:dyDescent="0.25">
      <c r="A43">
        <v>42</v>
      </c>
      <c r="B43" t="s">
        <v>17</v>
      </c>
      <c r="C43" t="str">
        <f t="shared" si="0"/>
        <v>0%</v>
      </c>
    </row>
    <row r="44" spans="1:3" x14ac:dyDescent="0.25">
      <c r="A44">
        <v>43</v>
      </c>
      <c r="B44" t="s">
        <v>172</v>
      </c>
      <c r="C44" t="str">
        <f t="shared" si="0"/>
        <v>100%</v>
      </c>
    </row>
    <row r="45" spans="1:3" x14ac:dyDescent="0.25">
      <c r="A45">
        <v>44</v>
      </c>
      <c r="B45" t="s">
        <v>17</v>
      </c>
      <c r="C45" t="str">
        <f t="shared" si="0"/>
        <v>0%</v>
      </c>
    </row>
    <row r="46" spans="1:3" x14ac:dyDescent="0.25">
      <c r="A46">
        <v>45</v>
      </c>
      <c r="B46" t="s">
        <v>26</v>
      </c>
      <c r="C46" t="str">
        <f t="shared" si="0"/>
        <v>50%</v>
      </c>
    </row>
    <row r="47" spans="1:3" x14ac:dyDescent="0.25">
      <c r="A47">
        <v>46</v>
      </c>
      <c r="B47" t="s">
        <v>172</v>
      </c>
      <c r="C47" t="str">
        <f t="shared" si="0"/>
        <v>100%</v>
      </c>
    </row>
    <row r="48" spans="1:3" x14ac:dyDescent="0.25">
      <c r="A48">
        <v>47</v>
      </c>
      <c r="B48" t="s">
        <v>172</v>
      </c>
      <c r="C48" t="str">
        <f t="shared" si="0"/>
        <v>100%</v>
      </c>
    </row>
    <row r="49" spans="1:3" x14ac:dyDescent="0.25">
      <c r="A49">
        <v>48</v>
      </c>
      <c r="B49" t="s">
        <v>173</v>
      </c>
      <c r="C49" t="str">
        <f t="shared" si="0"/>
        <v>70%</v>
      </c>
    </row>
    <row r="50" spans="1:3" x14ac:dyDescent="0.25">
      <c r="A50">
        <v>49</v>
      </c>
      <c r="B50" t="s">
        <v>173</v>
      </c>
      <c r="C50" t="str">
        <f t="shared" si="0"/>
        <v>70%</v>
      </c>
    </row>
    <row r="51" spans="1:3" x14ac:dyDescent="0.25">
      <c r="A51">
        <v>50</v>
      </c>
      <c r="B51" t="s">
        <v>173</v>
      </c>
      <c r="C51" t="str">
        <f t="shared" si="0"/>
        <v>70%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C580-86B6-4E66-876A-FC3145D5818F}">
  <dimension ref="A1:E101"/>
  <sheetViews>
    <sheetView workbookViewId="0">
      <selection activeCell="E2" sqref="E2"/>
    </sheetView>
  </sheetViews>
  <sheetFormatPr defaultColWidth="24.140625" defaultRowHeight="15" x14ac:dyDescent="0.25"/>
  <sheetData>
    <row r="1" spans="1:5" x14ac:dyDescent="0.25">
      <c r="A1" t="s">
        <v>175</v>
      </c>
      <c r="B1" t="s">
        <v>0</v>
      </c>
      <c r="C1" t="s">
        <v>176</v>
      </c>
      <c r="D1" t="s">
        <v>177</v>
      </c>
      <c r="E1" t="s">
        <v>5</v>
      </c>
    </row>
    <row r="2" spans="1:5" x14ac:dyDescent="0.25">
      <c r="A2">
        <v>1</v>
      </c>
      <c r="B2">
        <v>47</v>
      </c>
      <c r="C2" t="s">
        <v>178</v>
      </c>
      <c r="D2" t="s">
        <v>179</v>
      </c>
      <c r="E2" t="s">
        <v>180</v>
      </c>
    </row>
    <row r="3" spans="1:5" x14ac:dyDescent="0.25">
      <c r="A3">
        <v>2</v>
      </c>
      <c r="B3">
        <v>6</v>
      </c>
      <c r="C3" t="s">
        <v>178</v>
      </c>
      <c r="D3" t="s">
        <v>181</v>
      </c>
      <c r="E3" t="s">
        <v>180</v>
      </c>
    </row>
    <row r="4" spans="1:5" x14ac:dyDescent="0.25">
      <c r="A4">
        <v>3</v>
      </c>
      <c r="B4">
        <v>49</v>
      </c>
      <c r="C4" t="s">
        <v>182</v>
      </c>
      <c r="D4" t="s">
        <v>183</v>
      </c>
      <c r="E4" t="s">
        <v>184</v>
      </c>
    </row>
    <row r="5" spans="1:5" x14ac:dyDescent="0.25">
      <c r="A5">
        <v>4</v>
      </c>
      <c r="B5">
        <v>22</v>
      </c>
      <c r="C5" t="s">
        <v>185</v>
      </c>
      <c r="D5" t="s">
        <v>181</v>
      </c>
      <c r="E5" t="s">
        <v>184</v>
      </c>
    </row>
    <row r="6" spans="1:5" x14ac:dyDescent="0.25">
      <c r="A6">
        <v>5</v>
      </c>
      <c r="B6">
        <v>12</v>
      </c>
      <c r="C6" t="s">
        <v>182</v>
      </c>
      <c r="D6" t="s">
        <v>186</v>
      </c>
      <c r="E6" t="s">
        <v>184</v>
      </c>
    </row>
    <row r="7" spans="1:5" x14ac:dyDescent="0.25">
      <c r="A7">
        <v>6</v>
      </c>
      <c r="B7">
        <v>17</v>
      </c>
      <c r="C7" t="s">
        <v>178</v>
      </c>
      <c r="D7" t="s">
        <v>187</v>
      </c>
      <c r="E7" t="s">
        <v>184</v>
      </c>
    </row>
    <row r="8" spans="1:5" x14ac:dyDescent="0.25">
      <c r="A8">
        <v>7</v>
      </c>
      <c r="B8">
        <v>36</v>
      </c>
      <c r="C8" t="s">
        <v>185</v>
      </c>
      <c r="D8" t="s">
        <v>188</v>
      </c>
      <c r="E8" t="s">
        <v>180</v>
      </c>
    </row>
    <row r="9" spans="1:5" x14ac:dyDescent="0.25">
      <c r="A9">
        <v>8</v>
      </c>
      <c r="B9">
        <v>6</v>
      </c>
      <c r="C9" t="s">
        <v>2</v>
      </c>
      <c r="D9" t="s">
        <v>189</v>
      </c>
      <c r="E9" t="s">
        <v>184</v>
      </c>
    </row>
    <row r="10" spans="1:5" x14ac:dyDescent="0.25">
      <c r="A10">
        <v>9</v>
      </c>
      <c r="B10">
        <v>36</v>
      </c>
      <c r="C10" t="s">
        <v>2</v>
      </c>
      <c r="D10" t="s">
        <v>181</v>
      </c>
      <c r="E10" t="s">
        <v>184</v>
      </c>
    </row>
    <row r="11" spans="1:5" x14ac:dyDescent="0.25">
      <c r="A11">
        <v>10</v>
      </c>
      <c r="B11">
        <v>29</v>
      </c>
      <c r="C11" t="s">
        <v>185</v>
      </c>
      <c r="D11" t="s">
        <v>190</v>
      </c>
      <c r="E11" t="s">
        <v>184</v>
      </c>
    </row>
    <row r="12" spans="1:5" x14ac:dyDescent="0.25">
      <c r="A12">
        <v>11</v>
      </c>
      <c r="B12">
        <v>15</v>
      </c>
      <c r="C12" t="s">
        <v>182</v>
      </c>
      <c r="D12" t="s">
        <v>186</v>
      </c>
      <c r="E12" t="s">
        <v>184</v>
      </c>
    </row>
    <row r="13" spans="1:5" x14ac:dyDescent="0.25">
      <c r="A13">
        <v>12</v>
      </c>
      <c r="B13">
        <v>43</v>
      </c>
      <c r="C13" t="s">
        <v>178</v>
      </c>
      <c r="D13" t="s">
        <v>181</v>
      </c>
      <c r="E13" t="s">
        <v>184</v>
      </c>
    </row>
    <row r="14" spans="1:5" x14ac:dyDescent="0.25">
      <c r="A14">
        <v>13</v>
      </c>
      <c r="B14">
        <v>28</v>
      </c>
      <c r="C14" t="s">
        <v>178</v>
      </c>
      <c r="D14" t="s">
        <v>179</v>
      </c>
      <c r="E14" t="s">
        <v>184</v>
      </c>
    </row>
    <row r="15" spans="1:5" x14ac:dyDescent="0.25">
      <c r="A15">
        <v>14</v>
      </c>
      <c r="B15">
        <v>18</v>
      </c>
      <c r="C15" t="s">
        <v>178</v>
      </c>
      <c r="D15" t="s">
        <v>187</v>
      </c>
      <c r="E15" t="s">
        <v>180</v>
      </c>
    </row>
    <row r="16" spans="1:5" x14ac:dyDescent="0.25">
      <c r="A16">
        <v>15</v>
      </c>
      <c r="B16">
        <v>8</v>
      </c>
      <c r="C16" t="s">
        <v>2</v>
      </c>
      <c r="D16" t="s">
        <v>179</v>
      </c>
      <c r="E16" t="s">
        <v>180</v>
      </c>
    </row>
    <row r="17" spans="1:5" x14ac:dyDescent="0.25">
      <c r="A17">
        <v>16</v>
      </c>
      <c r="B17">
        <v>48</v>
      </c>
      <c r="C17" t="s">
        <v>2</v>
      </c>
      <c r="D17" t="s">
        <v>186</v>
      </c>
      <c r="E17" t="s">
        <v>180</v>
      </c>
    </row>
    <row r="18" spans="1:5" x14ac:dyDescent="0.25">
      <c r="A18">
        <v>17</v>
      </c>
      <c r="B18">
        <v>48</v>
      </c>
      <c r="C18" t="s">
        <v>182</v>
      </c>
      <c r="D18" t="s">
        <v>187</v>
      </c>
      <c r="E18" t="s">
        <v>184</v>
      </c>
    </row>
    <row r="19" spans="1:5" x14ac:dyDescent="0.25">
      <c r="A19">
        <v>18</v>
      </c>
      <c r="B19">
        <v>7</v>
      </c>
      <c r="C19" t="s">
        <v>2</v>
      </c>
      <c r="D19" t="s">
        <v>187</v>
      </c>
      <c r="E19" t="s">
        <v>180</v>
      </c>
    </row>
    <row r="20" spans="1:5" x14ac:dyDescent="0.25">
      <c r="A20">
        <v>19</v>
      </c>
      <c r="B20">
        <v>24</v>
      </c>
      <c r="C20" t="s">
        <v>2</v>
      </c>
      <c r="D20" t="s">
        <v>187</v>
      </c>
      <c r="E20" t="s">
        <v>180</v>
      </c>
    </row>
    <row r="21" spans="1:5" x14ac:dyDescent="0.25">
      <c r="A21">
        <v>20</v>
      </c>
      <c r="B21">
        <v>46</v>
      </c>
      <c r="C21" t="s">
        <v>2</v>
      </c>
      <c r="D21" t="s">
        <v>187</v>
      </c>
      <c r="E21" t="s">
        <v>180</v>
      </c>
    </row>
    <row r="22" spans="1:5" x14ac:dyDescent="0.25">
      <c r="A22">
        <v>21</v>
      </c>
      <c r="B22">
        <v>4</v>
      </c>
      <c r="C22" t="s">
        <v>178</v>
      </c>
      <c r="D22" t="s">
        <v>191</v>
      </c>
      <c r="E22" t="s">
        <v>184</v>
      </c>
    </row>
    <row r="23" spans="1:5" x14ac:dyDescent="0.25">
      <c r="A23">
        <v>22</v>
      </c>
      <c r="B23">
        <v>7</v>
      </c>
      <c r="C23" t="s">
        <v>185</v>
      </c>
      <c r="D23" t="s">
        <v>183</v>
      </c>
      <c r="E23" t="s">
        <v>184</v>
      </c>
    </row>
    <row r="24" spans="1:5" x14ac:dyDescent="0.25">
      <c r="A24">
        <v>23</v>
      </c>
      <c r="B24">
        <v>31</v>
      </c>
      <c r="C24" t="s">
        <v>182</v>
      </c>
      <c r="D24" t="s">
        <v>181</v>
      </c>
      <c r="E24" t="s">
        <v>184</v>
      </c>
    </row>
    <row r="25" spans="1:5" x14ac:dyDescent="0.25">
      <c r="A25">
        <v>24</v>
      </c>
      <c r="B25">
        <v>12</v>
      </c>
      <c r="C25" t="s">
        <v>185</v>
      </c>
      <c r="D25" t="s">
        <v>187</v>
      </c>
      <c r="E25" t="s">
        <v>184</v>
      </c>
    </row>
    <row r="26" spans="1:5" x14ac:dyDescent="0.25">
      <c r="A26">
        <v>25</v>
      </c>
      <c r="B26">
        <v>8</v>
      </c>
      <c r="C26" t="s">
        <v>185</v>
      </c>
      <c r="D26" t="s">
        <v>189</v>
      </c>
      <c r="E26" t="s">
        <v>184</v>
      </c>
    </row>
    <row r="27" spans="1:5" x14ac:dyDescent="0.25">
      <c r="A27">
        <v>26</v>
      </c>
      <c r="B27">
        <v>5</v>
      </c>
      <c r="C27" t="s">
        <v>185</v>
      </c>
      <c r="D27" t="s">
        <v>191</v>
      </c>
      <c r="E27" t="s">
        <v>180</v>
      </c>
    </row>
    <row r="28" spans="1:5" x14ac:dyDescent="0.25">
      <c r="A28">
        <v>27</v>
      </c>
      <c r="B28">
        <v>37</v>
      </c>
      <c r="C28" t="s">
        <v>178</v>
      </c>
      <c r="D28" t="s">
        <v>190</v>
      </c>
      <c r="E28" t="s">
        <v>180</v>
      </c>
    </row>
    <row r="29" spans="1:5" x14ac:dyDescent="0.25">
      <c r="A29">
        <v>28</v>
      </c>
      <c r="B29">
        <v>8</v>
      </c>
      <c r="C29" t="s">
        <v>182</v>
      </c>
      <c r="D29" t="s">
        <v>183</v>
      </c>
      <c r="E29" t="s">
        <v>180</v>
      </c>
    </row>
    <row r="30" spans="1:5" x14ac:dyDescent="0.25">
      <c r="A30">
        <v>29</v>
      </c>
      <c r="B30">
        <v>50</v>
      </c>
      <c r="C30" t="s">
        <v>182</v>
      </c>
      <c r="D30" t="s">
        <v>181</v>
      </c>
      <c r="E30" t="s">
        <v>184</v>
      </c>
    </row>
    <row r="31" spans="1:5" x14ac:dyDescent="0.25">
      <c r="A31">
        <v>30</v>
      </c>
      <c r="B31">
        <v>20</v>
      </c>
      <c r="C31" t="s">
        <v>182</v>
      </c>
      <c r="D31" t="s">
        <v>187</v>
      </c>
      <c r="E31" t="s">
        <v>180</v>
      </c>
    </row>
    <row r="32" spans="1:5" x14ac:dyDescent="0.25">
      <c r="A32">
        <v>31</v>
      </c>
      <c r="B32">
        <v>40</v>
      </c>
      <c r="C32" t="s">
        <v>185</v>
      </c>
      <c r="D32" t="s">
        <v>186</v>
      </c>
      <c r="E32" t="s">
        <v>180</v>
      </c>
    </row>
    <row r="33" spans="1:5" x14ac:dyDescent="0.25">
      <c r="A33">
        <v>32</v>
      </c>
      <c r="B33">
        <v>17</v>
      </c>
      <c r="C33" t="s">
        <v>185</v>
      </c>
      <c r="D33" t="s">
        <v>191</v>
      </c>
      <c r="E33" t="s">
        <v>180</v>
      </c>
    </row>
    <row r="34" spans="1:5" x14ac:dyDescent="0.25">
      <c r="A34">
        <v>33</v>
      </c>
      <c r="B34">
        <v>12</v>
      </c>
      <c r="C34" t="s">
        <v>185</v>
      </c>
      <c r="D34" t="s">
        <v>191</v>
      </c>
      <c r="E34" t="s">
        <v>180</v>
      </c>
    </row>
    <row r="35" spans="1:5" x14ac:dyDescent="0.25">
      <c r="A35">
        <v>34</v>
      </c>
      <c r="B35">
        <v>27</v>
      </c>
      <c r="C35" t="s">
        <v>182</v>
      </c>
      <c r="D35" t="s">
        <v>183</v>
      </c>
      <c r="E35" t="s">
        <v>184</v>
      </c>
    </row>
    <row r="36" spans="1:5" x14ac:dyDescent="0.25">
      <c r="A36">
        <v>35</v>
      </c>
      <c r="B36">
        <v>19</v>
      </c>
      <c r="C36" t="s">
        <v>185</v>
      </c>
      <c r="D36" t="s">
        <v>186</v>
      </c>
      <c r="E36" t="s">
        <v>184</v>
      </c>
    </row>
    <row r="37" spans="1:5" x14ac:dyDescent="0.25">
      <c r="A37">
        <v>36</v>
      </c>
      <c r="B37">
        <v>46</v>
      </c>
      <c r="C37" t="s">
        <v>178</v>
      </c>
      <c r="D37" t="s">
        <v>181</v>
      </c>
      <c r="E37" t="s">
        <v>180</v>
      </c>
    </row>
    <row r="38" spans="1:5" x14ac:dyDescent="0.25">
      <c r="A38">
        <v>37</v>
      </c>
      <c r="B38">
        <v>44</v>
      </c>
      <c r="C38" t="s">
        <v>2</v>
      </c>
      <c r="D38" t="s">
        <v>187</v>
      </c>
      <c r="E38" t="s">
        <v>180</v>
      </c>
    </row>
    <row r="39" spans="1:5" x14ac:dyDescent="0.25">
      <c r="A39">
        <v>38</v>
      </c>
      <c r="B39">
        <v>28</v>
      </c>
      <c r="C39" t="s">
        <v>185</v>
      </c>
      <c r="D39" t="s">
        <v>188</v>
      </c>
      <c r="E39" t="s">
        <v>180</v>
      </c>
    </row>
    <row r="40" spans="1:5" x14ac:dyDescent="0.25">
      <c r="A40">
        <v>39</v>
      </c>
      <c r="B40">
        <v>42</v>
      </c>
      <c r="C40" t="s">
        <v>2</v>
      </c>
      <c r="D40" t="s">
        <v>187</v>
      </c>
      <c r="E40" t="s">
        <v>180</v>
      </c>
    </row>
    <row r="41" spans="1:5" x14ac:dyDescent="0.25">
      <c r="A41">
        <v>40</v>
      </c>
      <c r="B41">
        <v>5</v>
      </c>
      <c r="C41" t="s">
        <v>185</v>
      </c>
      <c r="D41" t="s">
        <v>191</v>
      </c>
      <c r="E41" t="s">
        <v>184</v>
      </c>
    </row>
    <row r="42" spans="1:5" x14ac:dyDescent="0.25">
      <c r="A42">
        <v>41</v>
      </c>
      <c r="B42">
        <v>39</v>
      </c>
      <c r="C42" t="s">
        <v>178</v>
      </c>
      <c r="D42" t="s">
        <v>181</v>
      </c>
      <c r="E42" t="s">
        <v>180</v>
      </c>
    </row>
    <row r="43" spans="1:5" x14ac:dyDescent="0.25">
      <c r="A43">
        <v>42</v>
      </c>
      <c r="B43">
        <v>30</v>
      </c>
      <c r="C43" t="s">
        <v>178</v>
      </c>
      <c r="D43" t="s">
        <v>189</v>
      </c>
      <c r="E43" t="s">
        <v>184</v>
      </c>
    </row>
    <row r="44" spans="1:5" x14ac:dyDescent="0.25">
      <c r="A44">
        <v>43</v>
      </c>
      <c r="B44">
        <v>33</v>
      </c>
      <c r="C44" t="s">
        <v>182</v>
      </c>
      <c r="D44" t="s">
        <v>181</v>
      </c>
      <c r="E44" t="s">
        <v>180</v>
      </c>
    </row>
    <row r="45" spans="1:5" x14ac:dyDescent="0.25">
      <c r="A45">
        <v>44</v>
      </c>
      <c r="B45">
        <v>39</v>
      </c>
      <c r="C45" t="s">
        <v>185</v>
      </c>
      <c r="D45" t="s">
        <v>189</v>
      </c>
      <c r="E45" t="s">
        <v>184</v>
      </c>
    </row>
    <row r="46" spans="1:5" x14ac:dyDescent="0.25">
      <c r="A46">
        <v>45</v>
      </c>
      <c r="B46">
        <v>39</v>
      </c>
      <c r="C46" t="s">
        <v>178</v>
      </c>
      <c r="D46" t="s">
        <v>192</v>
      </c>
      <c r="E46" t="s">
        <v>180</v>
      </c>
    </row>
    <row r="47" spans="1:5" x14ac:dyDescent="0.25">
      <c r="A47">
        <v>46</v>
      </c>
      <c r="B47">
        <v>15</v>
      </c>
      <c r="C47" t="s">
        <v>185</v>
      </c>
      <c r="D47" t="s">
        <v>193</v>
      </c>
      <c r="E47" t="s">
        <v>184</v>
      </c>
    </row>
    <row r="48" spans="1:5" x14ac:dyDescent="0.25">
      <c r="A48">
        <v>47</v>
      </c>
      <c r="B48">
        <v>37</v>
      </c>
      <c r="C48" t="s">
        <v>185</v>
      </c>
      <c r="D48" t="s">
        <v>191</v>
      </c>
      <c r="E48" t="s">
        <v>184</v>
      </c>
    </row>
    <row r="49" spans="1:5" x14ac:dyDescent="0.25">
      <c r="A49">
        <v>48</v>
      </c>
      <c r="B49">
        <v>34</v>
      </c>
      <c r="C49" t="s">
        <v>182</v>
      </c>
      <c r="D49" t="s">
        <v>187</v>
      </c>
      <c r="E49" t="s">
        <v>180</v>
      </c>
    </row>
    <row r="50" spans="1:5" x14ac:dyDescent="0.25">
      <c r="A50">
        <v>49</v>
      </c>
      <c r="B50">
        <v>38</v>
      </c>
      <c r="C50" t="s">
        <v>182</v>
      </c>
      <c r="D50" t="s">
        <v>193</v>
      </c>
      <c r="E50" t="s">
        <v>184</v>
      </c>
    </row>
    <row r="51" spans="1:5" x14ac:dyDescent="0.25">
      <c r="A51">
        <v>50</v>
      </c>
      <c r="B51">
        <v>6</v>
      </c>
      <c r="C51" t="s">
        <v>182</v>
      </c>
      <c r="D51" t="s">
        <v>179</v>
      </c>
      <c r="E51" t="s">
        <v>184</v>
      </c>
    </row>
    <row r="52" spans="1:5" x14ac:dyDescent="0.25">
      <c r="A52">
        <v>51</v>
      </c>
      <c r="B52">
        <v>22</v>
      </c>
      <c r="C52" t="s">
        <v>178</v>
      </c>
      <c r="D52" t="s">
        <v>193</v>
      </c>
      <c r="E52" t="s">
        <v>180</v>
      </c>
    </row>
    <row r="53" spans="1:5" x14ac:dyDescent="0.25">
      <c r="A53">
        <v>52</v>
      </c>
      <c r="B53">
        <v>11</v>
      </c>
      <c r="C53" t="s">
        <v>178</v>
      </c>
      <c r="D53" t="s">
        <v>189</v>
      </c>
      <c r="E53" t="s">
        <v>184</v>
      </c>
    </row>
    <row r="54" spans="1:5" x14ac:dyDescent="0.25">
      <c r="A54">
        <v>53</v>
      </c>
      <c r="B54">
        <v>19</v>
      </c>
      <c r="C54" t="s">
        <v>182</v>
      </c>
      <c r="D54" t="s">
        <v>188</v>
      </c>
      <c r="E54" t="s">
        <v>180</v>
      </c>
    </row>
    <row r="55" spans="1:5" x14ac:dyDescent="0.25">
      <c r="A55">
        <v>54</v>
      </c>
      <c r="B55">
        <v>30</v>
      </c>
      <c r="C55" t="s">
        <v>185</v>
      </c>
      <c r="D55" t="s">
        <v>179</v>
      </c>
      <c r="E55" t="s">
        <v>184</v>
      </c>
    </row>
    <row r="56" spans="1:5" x14ac:dyDescent="0.25">
      <c r="A56">
        <v>55</v>
      </c>
      <c r="B56">
        <v>21</v>
      </c>
      <c r="C56" t="s">
        <v>185</v>
      </c>
      <c r="D56" t="s">
        <v>189</v>
      </c>
      <c r="E56" t="s">
        <v>180</v>
      </c>
    </row>
    <row r="57" spans="1:5" x14ac:dyDescent="0.25">
      <c r="A57">
        <v>56</v>
      </c>
      <c r="B57">
        <v>43</v>
      </c>
      <c r="C57" t="s">
        <v>182</v>
      </c>
      <c r="D57" t="s">
        <v>189</v>
      </c>
      <c r="E57" t="s">
        <v>180</v>
      </c>
    </row>
    <row r="58" spans="1:5" x14ac:dyDescent="0.25">
      <c r="A58">
        <v>57</v>
      </c>
      <c r="B58">
        <v>13</v>
      </c>
      <c r="C58" t="s">
        <v>178</v>
      </c>
      <c r="D58" t="s">
        <v>183</v>
      </c>
      <c r="E58" t="s">
        <v>184</v>
      </c>
    </row>
    <row r="59" spans="1:5" x14ac:dyDescent="0.25">
      <c r="A59">
        <v>58</v>
      </c>
      <c r="B59">
        <v>41</v>
      </c>
      <c r="C59" t="s">
        <v>182</v>
      </c>
      <c r="D59" t="s">
        <v>192</v>
      </c>
      <c r="E59" t="s">
        <v>180</v>
      </c>
    </row>
    <row r="60" spans="1:5" x14ac:dyDescent="0.25">
      <c r="A60">
        <v>59</v>
      </c>
      <c r="B60">
        <v>18</v>
      </c>
      <c r="C60" t="s">
        <v>2</v>
      </c>
      <c r="D60" t="s">
        <v>187</v>
      </c>
      <c r="E60" t="s">
        <v>184</v>
      </c>
    </row>
    <row r="61" spans="1:5" x14ac:dyDescent="0.25">
      <c r="A61">
        <v>60</v>
      </c>
      <c r="B61">
        <v>45</v>
      </c>
      <c r="C61" t="s">
        <v>182</v>
      </c>
      <c r="D61" t="s">
        <v>190</v>
      </c>
      <c r="E61" t="s">
        <v>180</v>
      </c>
    </row>
    <row r="62" spans="1:5" x14ac:dyDescent="0.25">
      <c r="A62">
        <v>61</v>
      </c>
      <c r="B62">
        <v>41</v>
      </c>
      <c r="C62" t="s">
        <v>2</v>
      </c>
      <c r="D62" t="s">
        <v>191</v>
      </c>
      <c r="E62" t="s">
        <v>184</v>
      </c>
    </row>
    <row r="63" spans="1:5" x14ac:dyDescent="0.25">
      <c r="A63">
        <v>62</v>
      </c>
      <c r="B63">
        <v>36</v>
      </c>
      <c r="C63" t="s">
        <v>185</v>
      </c>
      <c r="D63" t="s">
        <v>188</v>
      </c>
      <c r="E63" t="s">
        <v>184</v>
      </c>
    </row>
    <row r="64" spans="1:5" x14ac:dyDescent="0.25">
      <c r="A64">
        <v>63</v>
      </c>
      <c r="B64">
        <v>6</v>
      </c>
      <c r="C64" t="s">
        <v>2</v>
      </c>
      <c r="D64" t="s">
        <v>190</v>
      </c>
      <c r="E64" t="s">
        <v>184</v>
      </c>
    </row>
    <row r="65" spans="1:5" x14ac:dyDescent="0.25">
      <c r="A65">
        <v>64</v>
      </c>
      <c r="B65">
        <v>8</v>
      </c>
      <c r="C65" t="s">
        <v>2</v>
      </c>
      <c r="D65" t="s">
        <v>181</v>
      </c>
      <c r="E65" t="s">
        <v>184</v>
      </c>
    </row>
    <row r="66" spans="1:5" x14ac:dyDescent="0.25">
      <c r="A66">
        <v>65</v>
      </c>
      <c r="B66">
        <v>33</v>
      </c>
      <c r="C66" t="s">
        <v>178</v>
      </c>
      <c r="D66" t="s">
        <v>189</v>
      </c>
      <c r="E66" t="s">
        <v>184</v>
      </c>
    </row>
    <row r="67" spans="1:5" x14ac:dyDescent="0.25">
      <c r="A67">
        <v>66</v>
      </c>
      <c r="B67">
        <v>31</v>
      </c>
      <c r="C67" t="s">
        <v>2</v>
      </c>
      <c r="D67" t="s">
        <v>181</v>
      </c>
      <c r="E67" t="s">
        <v>180</v>
      </c>
    </row>
    <row r="68" spans="1:5" x14ac:dyDescent="0.25">
      <c r="A68">
        <v>67</v>
      </c>
      <c r="B68">
        <v>25</v>
      </c>
      <c r="C68" t="s">
        <v>2</v>
      </c>
      <c r="D68" t="s">
        <v>183</v>
      </c>
      <c r="E68" t="s">
        <v>180</v>
      </c>
    </row>
    <row r="69" spans="1:5" x14ac:dyDescent="0.25">
      <c r="A69">
        <v>68</v>
      </c>
      <c r="B69">
        <v>5</v>
      </c>
      <c r="C69" t="s">
        <v>178</v>
      </c>
      <c r="D69" t="s">
        <v>189</v>
      </c>
      <c r="E69" t="s">
        <v>184</v>
      </c>
    </row>
    <row r="70" spans="1:5" x14ac:dyDescent="0.25">
      <c r="A70">
        <v>69</v>
      </c>
      <c r="B70">
        <v>33</v>
      </c>
      <c r="C70" t="s">
        <v>178</v>
      </c>
      <c r="D70" t="s">
        <v>192</v>
      </c>
      <c r="E70" t="s">
        <v>184</v>
      </c>
    </row>
    <row r="71" spans="1:5" x14ac:dyDescent="0.25">
      <c r="A71">
        <v>70</v>
      </c>
      <c r="B71">
        <v>47</v>
      </c>
      <c r="C71" t="s">
        <v>178</v>
      </c>
      <c r="D71" t="s">
        <v>183</v>
      </c>
      <c r="E71" t="s">
        <v>184</v>
      </c>
    </row>
    <row r="72" spans="1:5" x14ac:dyDescent="0.25">
      <c r="A72">
        <v>71</v>
      </c>
      <c r="B72">
        <v>10</v>
      </c>
      <c r="C72" t="s">
        <v>182</v>
      </c>
      <c r="D72" t="s">
        <v>188</v>
      </c>
      <c r="E72" t="s">
        <v>184</v>
      </c>
    </row>
    <row r="73" spans="1:5" x14ac:dyDescent="0.25">
      <c r="A73">
        <v>72</v>
      </c>
      <c r="B73">
        <v>23</v>
      </c>
      <c r="C73" t="s">
        <v>178</v>
      </c>
      <c r="D73" t="s">
        <v>188</v>
      </c>
      <c r="E73" t="s">
        <v>184</v>
      </c>
    </row>
    <row r="74" spans="1:5" x14ac:dyDescent="0.25">
      <c r="A74">
        <v>73</v>
      </c>
      <c r="B74">
        <v>30</v>
      </c>
      <c r="C74" t="s">
        <v>178</v>
      </c>
      <c r="D74" t="s">
        <v>186</v>
      </c>
      <c r="E74" t="s">
        <v>180</v>
      </c>
    </row>
    <row r="75" spans="1:5" x14ac:dyDescent="0.25">
      <c r="A75">
        <v>74</v>
      </c>
      <c r="B75">
        <v>37</v>
      </c>
      <c r="C75" t="s">
        <v>182</v>
      </c>
      <c r="D75" t="s">
        <v>186</v>
      </c>
      <c r="E75" t="s">
        <v>184</v>
      </c>
    </row>
    <row r="76" spans="1:5" x14ac:dyDescent="0.25">
      <c r="A76">
        <v>75</v>
      </c>
      <c r="B76">
        <v>3</v>
      </c>
      <c r="C76" t="s">
        <v>178</v>
      </c>
      <c r="D76" t="s">
        <v>181</v>
      </c>
      <c r="E76" t="s">
        <v>184</v>
      </c>
    </row>
    <row r="77" spans="1:5" x14ac:dyDescent="0.25">
      <c r="A77">
        <v>76</v>
      </c>
      <c r="B77">
        <v>25</v>
      </c>
      <c r="C77" t="s">
        <v>2</v>
      </c>
      <c r="D77" t="s">
        <v>181</v>
      </c>
      <c r="E77" t="s">
        <v>180</v>
      </c>
    </row>
    <row r="78" spans="1:5" x14ac:dyDescent="0.25">
      <c r="A78">
        <v>77</v>
      </c>
      <c r="B78">
        <v>9</v>
      </c>
      <c r="C78" t="s">
        <v>178</v>
      </c>
      <c r="D78" t="s">
        <v>190</v>
      </c>
      <c r="E78" t="s">
        <v>184</v>
      </c>
    </row>
    <row r="79" spans="1:5" x14ac:dyDescent="0.25">
      <c r="A79">
        <v>78</v>
      </c>
      <c r="B79">
        <v>7</v>
      </c>
      <c r="C79" t="s">
        <v>182</v>
      </c>
      <c r="D79" t="s">
        <v>192</v>
      </c>
      <c r="E79" t="s">
        <v>180</v>
      </c>
    </row>
    <row r="80" spans="1:5" x14ac:dyDescent="0.25">
      <c r="A80">
        <v>79</v>
      </c>
      <c r="B80">
        <v>27</v>
      </c>
      <c r="C80" t="s">
        <v>2</v>
      </c>
      <c r="D80" t="s">
        <v>190</v>
      </c>
      <c r="E80" t="s">
        <v>184</v>
      </c>
    </row>
    <row r="81" spans="1:5" x14ac:dyDescent="0.25">
      <c r="A81">
        <v>80</v>
      </c>
      <c r="B81">
        <v>17</v>
      </c>
      <c r="C81" t="s">
        <v>178</v>
      </c>
      <c r="D81" t="s">
        <v>183</v>
      </c>
      <c r="E81" t="s">
        <v>184</v>
      </c>
    </row>
    <row r="82" spans="1:5" x14ac:dyDescent="0.25">
      <c r="A82">
        <v>81</v>
      </c>
      <c r="B82">
        <v>42</v>
      </c>
      <c r="C82" t="s">
        <v>185</v>
      </c>
      <c r="D82" t="s">
        <v>179</v>
      </c>
      <c r="E82" t="s">
        <v>184</v>
      </c>
    </row>
    <row r="83" spans="1:5" x14ac:dyDescent="0.25">
      <c r="A83">
        <v>82</v>
      </c>
      <c r="B83">
        <v>21</v>
      </c>
      <c r="C83" t="s">
        <v>182</v>
      </c>
      <c r="D83" t="s">
        <v>188</v>
      </c>
      <c r="E83" t="s">
        <v>180</v>
      </c>
    </row>
    <row r="84" spans="1:5" x14ac:dyDescent="0.25">
      <c r="A84">
        <v>83</v>
      </c>
      <c r="B84">
        <v>40</v>
      </c>
      <c r="C84" t="s">
        <v>185</v>
      </c>
      <c r="D84" t="s">
        <v>186</v>
      </c>
      <c r="E84" t="s">
        <v>184</v>
      </c>
    </row>
    <row r="85" spans="1:5" x14ac:dyDescent="0.25">
      <c r="A85">
        <v>84</v>
      </c>
      <c r="B85">
        <v>15</v>
      </c>
      <c r="C85" t="s">
        <v>185</v>
      </c>
      <c r="D85" t="s">
        <v>189</v>
      </c>
      <c r="E85" t="s">
        <v>180</v>
      </c>
    </row>
    <row r="86" spans="1:5" x14ac:dyDescent="0.25">
      <c r="A86">
        <v>85</v>
      </c>
      <c r="B86">
        <v>49</v>
      </c>
      <c r="C86" t="s">
        <v>185</v>
      </c>
      <c r="D86" t="s">
        <v>181</v>
      </c>
      <c r="E86" t="s">
        <v>180</v>
      </c>
    </row>
    <row r="87" spans="1:5" x14ac:dyDescent="0.25">
      <c r="A87">
        <v>86</v>
      </c>
      <c r="B87">
        <v>45</v>
      </c>
      <c r="C87" t="s">
        <v>178</v>
      </c>
      <c r="D87" t="s">
        <v>192</v>
      </c>
      <c r="E87" t="s">
        <v>180</v>
      </c>
    </row>
    <row r="88" spans="1:5" x14ac:dyDescent="0.25">
      <c r="A88">
        <v>87</v>
      </c>
      <c r="B88">
        <v>21</v>
      </c>
      <c r="C88" t="s">
        <v>185</v>
      </c>
      <c r="D88" t="s">
        <v>187</v>
      </c>
      <c r="E88" t="s">
        <v>184</v>
      </c>
    </row>
    <row r="89" spans="1:5" x14ac:dyDescent="0.25">
      <c r="A89">
        <v>88</v>
      </c>
      <c r="B89">
        <v>24</v>
      </c>
      <c r="C89" t="s">
        <v>182</v>
      </c>
      <c r="D89" t="s">
        <v>191</v>
      </c>
      <c r="E89" t="s">
        <v>180</v>
      </c>
    </row>
    <row r="90" spans="1:5" x14ac:dyDescent="0.25">
      <c r="A90">
        <v>89</v>
      </c>
      <c r="B90">
        <v>34</v>
      </c>
      <c r="C90" t="s">
        <v>182</v>
      </c>
      <c r="D90" t="s">
        <v>183</v>
      </c>
      <c r="E90" t="s">
        <v>180</v>
      </c>
    </row>
    <row r="91" spans="1:5" x14ac:dyDescent="0.25">
      <c r="A91">
        <v>90</v>
      </c>
      <c r="B91">
        <v>11</v>
      </c>
      <c r="C91" t="s">
        <v>2</v>
      </c>
      <c r="D91" t="s">
        <v>190</v>
      </c>
      <c r="E91" t="s">
        <v>184</v>
      </c>
    </row>
    <row r="92" spans="1:5" x14ac:dyDescent="0.25">
      <c r="A92">
        <v>91</v>
      </c>
      <c r="B92">
        <v>40</v>
      </c>
      <c r="C92" t="s">
        <v>2</v>
      </c>
      <c r="D92" t="s">
        <v>181</v>
      </c>
      <c r="E92" t="s">
        <v>180</v>
      </c>
    </row>
    <row r="93" spans="1:5" x14ac:dyDescent="0.25">
      <c r="A93">
        <v>92</v>
      </c>
      <c r="B93">
        <v>15</v>
      </c>
      <c r="C93" t="s">
        <v>182</v>
      </c>
      <c r="D93" t="s">
        <v>193</v>
      </c>
      <c r="E93" t="s">
        <v>184</v>
      </c>
    </row>
    <row r="94" spans="1:5" x14ac:dyDescent="0.25">
      <c r="A94">
        <v>93</v>
      </c>
      <c r="B94">
        <v>30</v>
      </c>
      <c r="C94" t="s">
        <v>178</v>
      </c>
      <c r="D94" t="s">
        <v>193</v>
      </c>
      <c r="E94" t="s">
        <v>180</v>
      </c>
    </row>
    <row r="95" spans="1:5" x14ac:dyDescent="0.25">
      <c r="A95">
        <v>94</v>
      </c>
      <c r="B95">
        <v>30</v>
      </c>
      <c r="C95" t="s">
        <v>178</v>
      </c>
      <c r="D95" t="s">
        <v>193</v>
      </c>
      <c r="E95" t="s">
        <v>180</v>
      </c>
    </row>
    <row r="96" spans="1:5" x14ac:dyDescent="0.25">
      <c r="A96">
        <v>95</v>
      </c>
      <c r="B96">
        <v>5</v>
      </c>
      <c r="C96" t="s">
        <v>182</v>
      </c>
      <c r="D96" t="s">
        <v>179</v>
      </c>
      <c r="E96" t="s">
        <v>184</v>
      </c>
    </row>
    <row r="97" spans="1:5" x14ac:dyDescent="0.25">
      <c r="A97">
        <v>96</v>
      </c>
      <c r="B97">
        <v>41</v>
      </c>
      <c r="C97" t="s">
        <v>182</v>
      </c>
      <c r="D97" t="s">
        <v>187</v>
      </c>
      <c r="E97" t="s">
        <v>184</v>
      </c>
    </row>
    <row r="98" spans="1:5" x14ac:dyDescent="0.25">
      <c r="A98">
        <v>97</v>
      </c>
      <c r="B98">
        <v>20</v>
      </c>
      <c r="C98" t="s">
        <v>2</v>
      </c>
      <c r="D98" t="s">
        <v>189</v>
      </c>
      <c r="E98" t="s">
        <v>184</v>
      </c>
    </row>
    <row r="99" spans="1:5" x14ac:dyDescent="0.25">
      <c r="A99">
        <v>98</v>
      </c>
      <c r="B99">
        <v>7</v>
      </c>
      <c r="C99" t="s">
        <v>2</v>
      </c>
      <c r="D99" t="s">
        <v>189</v>
      </c>
      <c r="E99" t="s">
        <v>184</v>
      </c>
    </row>
    <row r="100" spans="1:5" x14ac:dyDescent="0.25">
      <c r="A100">
        <v>99</v>
      </c>
      <c r="B100">
        <v>37</v>
      </c>
      <c r="C100" t="s">
        <v>178</v>
      </c>
      <c r="D100" t="s">
        <v>187</v>
      </c>
      <c r="E100" t="s">
        <v>180</v>
      </c>
    </row>
    <row r="101" spans="1:5" x14ac:dyDescent="0.25">
      <c r="A101">
        <v>100</v>
      </c>
      <c r="B101">
        <v>43</v>
      </c>
      <c r="C101" t="s">
        <v>182</v>
      </c>
      <c r="D101" t="s">
        <v>187</v>
      </c>
      <c r="E101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CE17-B448-4C19-B652-1B08B09D9816}">
  <dimension ref="A1:E31"/>
  <sheetViews>
    <sheetView workbookViewId="0">
      <selection activeCell="E3" sqref="E3"/>
    </sheetView>
  </sheetViews>
  <sheetFormatPr defaultColWidth="17.7109375" defaultRowHeight="15" x14ac:dyDescent="0.25"/>
  <sheetData>
    <row r="1" spans="1:5" x14ac:dyDescent="0.25">
      <c r="A1" t="s">
        <v>194</v>
      </c>
      <c r="B1" t="s">
        <v>0</v>
      </c>
      <c r="C1" t="s">
        <v>195</v>
      </c>
      <c r="D1" t="s">
        <v>5</v>
      </c>
      <c r="E1" t="s">
        <v>196</v>
      </c>
    </row>
    <row r="2" spans="1:5" x14ac:dyDescent="0.25">
      <c r="A2">
        <v>1</v>
      </c>
      <c r="B2">
        <v>37</v>
      </c>
      <c r="C2">
        <v>2607</v>
      </c>
      <c r="D2" t="s">
        <v>180</v>
      </c>
      <c r="E2">
        <f>IF(D2="Won",C2,
IF(D2="Pending",C2*0.5,
IF(D2="Lost",0,0)))</f>
        <v>1303.5</v>
      </c>
    </row>
    <row r="3" spans="1:5" x14ac:dyDescent="0.25">
      <c r="A3">
        <v>2</v>
      </c>
      <c r="B3">
        <v>48</v>
      </c>
      <c r="C3">
        <v>17276</v>
      </c>
      <c r="D3" t="s">
        <v>17</v>
      </c>
      <c r="E3">
        <f t="shared" ref="E3:E31" si="0">IF(D3="Won",C3,
IF(D3="Pending",C3*0.5,
IF(D3="Lost",0,0)))</f>
        <v>0</v>
      </c>
    </row>
    <row r="4" spans="1:5" x14ac:dyDescent="0.25">
      <c r="A4">
        <v>3</v>
      </c>
      <c r="B4">
        <v>50</v>
      </c>
      <c r="C4">
        <v>8540</v>
      </c>
      <c r="D4" t="s">
        <v>180</v>
      </c>
      <c r="E4">
        <f t="shared" si="0"/>
        <v>4270</v>
      </c>
    </row>
    <row r="5" spans="1:5" x14ac:dyDescent="0.25">
      <c r="A5">
        <v>4</v>
      </c>
      <c r="B5">
        <v>23</v>
      </c>
      <c r="C5">
        <v>8176</v>
      </c>
      <c r="D5" t="s">
        <v>180</v>
      </c>
      <c r="E5">
        <f t="shared" si="0"/>
        <v>4088</v>
      </c>
    </row>
    <row r="6" spans="1:5" x14ac:dyDescent="0.25">
      <c r="A6">
        <v>5</v>
      </c>
      <c r="B6">
        <v>13</v>
      </c>
      <c r="C6">
        <v>9212</v>
      </c>
      <c r="D6" t="s">
        <v>180</v>
      </c>
      <c r="E6">
        <f t="shared" si="0"/>
        <v>4606</v>
      </c>
    </row>
    <row r="7" spans="1:5" x14ac:dyDescent="0.25">
      <c r="A7">
        <v>6</v>
      </c>
      <c r="B7">
        <v>49</v>
      </c>
      <c r="C7">
        <v>5481</v>
      </c>
      <c r="D7" t="s">
        <v>180</v>
      </c>
      <c r="E7">
        <f t="shared" si="0"/>
        <v>2740.5</v>
      </c>
    </row>
    <row r="8" spans="1:5" x14ac:dyDescent="0.25">
      <c r="A8">
        <v>7</v>
      </c>
      <c r="B8">
        <v>7</v>
      </c>
      <c r="C8">
        <v>2291</v>
      </c>
      <c r="D8" t="s">
        <v>17</v>
      </c>
      <c r="E8">
        <f t="shared" si="0"/>
        <v>0</v>
      </c>
    </row>
    <row r="9" spans="1:5" x14ac:dyDescent="0.25">
      <c r="A9">
        <v>8</v>
      </c>
      <c r="B9">
        <v>29</v>
      </c>
      <c r="C9">
        <v>2093</v>
      </c>
      <c r="D9" t="s">
        <v>180</v>
      </c>
      <c r="E9">
        <f t="shared" si="0"/>
        <v>1046.5</v>
      </c>
    </row>
    <row r="10" spans="1:5" x14ac:dyDescent="0.25">
      <c r="A10">
        <v>9</v>
      </c>
      <c r="B10">
        <v>24</v>
      </c>
      <c r="C10">
        <v>5306</v>
      </c>
      <c r="D10" t="s">
        <v>172</v>
      </c>
      <c r="E10">
        <f t="shared" si="0"/>
        <v>5306</v>
      </c>
    </row>
    <row r="11" spans="1:5" x14ac:dyDescent="0.25">
      <c r="A11">
        <v>10</v>
      </c>
      <c r="B11">
        <v>19</v>
      </c>
      <c r="C11">
        <v>11705</v>
      </c>
      <c r="D11" t="s">
        <v>180</v>
      </c>
      <c r="E11">
        <f t="shared" si="0"/>
        <v>5852.5</v>
      </c>
    </row>
    <row r="12" spans="1:5" x14ac:dyDescent="0.25">
      <c r="A12">
        <v>11</v>
      </c>
      <c r="B12">
        <v>27</v>
      </c>
      <c r="C12">
        <v>6755</v>
      </c>
      <c r="D12" t="s">
        <v>172</v>
      </c>
      <c r="E12">
        <f t="shared" si="0"/>
        <v>6755</v>
      </c>
    </row>
    <row r="13" spans="1:5" x14ac:dyDescent="0.25">
      <c r="A13">
        <v>12</v>
      </c>
      <c r="B13">
        <v>9</v>
      </c>
      <c r="C13">
        <v>18675</v>
      </c>
      <c r="D13" t="s">
        <v>17</v>
      </c>
      <c r="E13">
        <f t="shared" si="0"/>
        <v>0</v>
      </c>
    </row>
    <row r="14" spans="1:5" x14ac:dyDescent="0.25">
      <c r="A14">
        <v>13</v>
      </c>
      <c r="B14">
        <v>34</v>
      </c>
      <c r="C14">
        <v>17442</v>
      </c>
      <c r="D14" t="s">
        <v>17</v>
      </c>
      <c r="E14">
        <f t="shared" si="0"/>
        <v>0</v>
      </c>
    </row>
    <row r="15" spans="1:5" x14ac:dyDescent="0.25">
      <c r="A15">
        <v>14</v>
      </c>
      <c r="B15">
        <v>11</v>
      </c>
      <c r="C15">
        <v>9420</v>
      </c>
      <c r="D15" t="s">
        <v>17</v>
      </c>
      <c r="E15">
        <f t="shared" si="0"/>
        <v>0</v>
      </c>
    </row>
    <row r="16" spans="1:5" x14ac:dyDescent="0.25">
      <c r="A16">
        <v>15</v>
      </c>
      <c r="B16">
        <v>19</v>
      </c>
      <c r="C16">
        <v>12099</v>
      </c>
      <c r="D16" t="s">
        <v>172</v>
      </c>
      <c r="E16">
        <f t="shared" si="0"/>
        <v>12099</v>
      </c>
    </row>
    <row r="17" spans="1:5" x14ac:dyDescent="0.25">
      <c r="A17">
        <v>16</v>
      </c>
      <c r="B17">
        <v>30</v>
      </c>
      <c r="C17">
        <v>3467</v>
      </c>
      <c r="D17" t="s">
        <v>172</v>
      </c>
      <c r="E17">
        <f t="shared" si="0"/>
        <v>3467</v>
      </c>
    </row>
    <row r="18" spans="1:5" x14ac:dyDescent="0.25">
      <c r="A18">
        <v>17</v>
      </c>
      <c r="B18">
        <v>49</v>
      </c>
      <c r="C18">
        <v>8392</v>
      </c>
      <c r="D18" t="s">
        <v>180</v>
      </c>
      <c r="E18">
        <f t="shared" si="0"/>
        <v>4196</v>
      </c>
    </row>
    <row r="19" spans="1:5" x14ac:dyDescent="0.25">
      <c r="A19">
        <v>18</v>
      </c>
      <c r="B19">
        <v>47</v>
      </c>
      <c r="C19">
        <v>14022</v>
      </c>
      <c r="D19" t="s">
        <v>180</v>
      </c>
      <c r="E19">
        <f t="shared" si="0"/>
        <v>7011</v>
      </c>
    </row>
    <row r="20" spans="1:5" x14ac:dyDescent="0.25">
      <c r="A20">
        <v>19</v>
      </c>
      <c r="B20">
        <v>24</v>
      </c>
      <c r="C20">
        <v>3959</v>
      </c>
      <c r="D20" t="s">
        <v>17</v>
      </c>
      <c r="E20">
        <f t="shared" si="0"/>
        <v>0</v>
      </c>
    </row>
    <row r="21" spans="1:5" x14ac:dyDescent="0.25">
      <c r="A21">
        <v>20</v>
      </c>
      <c r="B21">
        <v>1</v>
      </c>
      <c r="C21">
        <v>9665</v>
      </c>
      <c r="D21" t="s">
        <v>180</v>
      </c>
      <c r="E21">
        <f t="shared" si="0"/>
        <v>4832.5</v>
      </c>
    </row>
    <row r="22" spans="1:5" x14ac:dyDescent="0.25">
      <c r="A22">
        <v>21</v>
      </c>
      <c r="B22">
        <v>8</v>
      </c>
      <c r="C22">
        <v>15902</v>
      </c>
      <c r="D22" t="s">
        <v>17</v>
      </c>
      <c r="E22">
        <f t="shared" si="0"/>
        <v>0</v>
      </c>
    </row>
    <row r="23" spans="1:5" x14ac:dyDescent="0.25">
      <c r="A23">
        <v>22</v>
      </c>
      <c r="B23">
        <v>44</v>
      </c>
      <c r="C23">
        <v>9590</v>
      </c>
      <c r="D23" t="s">
        <v>180</v>
      </c>
      <c r="E23">
        <f t="shared" si="0"/>
        <v>4795</v>
      </c>
    </row>
    <row r="24" spans="1:5" x14ac:dyDescent="0.25">
      <c r="A24">
        <v>23</v>
      </c>
      <c r="B24">
        <v>25</v>
      </c>
      <c r="C24">
        <v>13172</v>
      </c>
      <c r="D24" t="s">
        <v>172</v>
      </c>
      <c r="E24">
        <f t="shared" si="0"/>
        <v>13172</v>
      </c>
    </row>
    <row r="25" spans="1:5" x14ac:dyDescent="0.25">
      <c r="A25">
        <v>24</v>
      </c>
      <c r="B25">
        <v>44</v>
      </c>
      <c r="C25">
        <v>8661</v>
      </c>
      <c r="D25" t="s">
        <v>17</v>
      </c>
      <c r="E25">
        <f t="shared" si="0"/>
        <v>0</v>
      </c>
    </row>
    <row r="26" spans="1:5" x14ac:dyDescent="0.25">
      <c r="A26">
        <v>25</v>
      </c>
      <c r="B26">
        <v>2</v>
      </c>
      <c r="C26">
        <v>19396</v>
      </c>
      <c r="D26" t="s">
        <v>17</v>
      </c>
      <c r="E26">
        <f t="shared" si="0"/>
        <v>0</v>
      </c>
    </row>
    <row r="27" spans="1:5" x14ac:dyDescent="0.25">
      <c r="A27">
        <v>26</v>
      </c>
      <c r="B27">
        <v>40</v>
      </c>
      <c r="C27">
        <v>8253</v>
      </c>
      <c r="D27" t="s">
        <v>180</v>
      </c>
      <c r="E27">
        <f t="shared" si="0"/>
        <v>4126.5</v>
      </c>
    </row>
    <row r="28" spans="1:5" x14ac:dyDescent="0.25">
      <c r="A28">
        <v>27</v>
      </c>
      <c r="B28">
        <v>5</v>
      </c>
      <c r="C28">
        <v>16213</v>
      </c>
      <c r="D28" t="s">
        <v>180</v>
      </c>
      <c r="E28">
        <f t="shared" si="0"/>
        <v>8106.5</v>
      </c>
    </row>
    <row r="29" spans="1:5" x14ac:dyDescent="0.25">
      <c r="A29">
        <v>28</v>
      </c>
      <c r="B29">
        <v>20</v>
      </c>
      <c r="C29">
        <v>14379</v>
      </c>
      <c r="D29" t="s">
        <v>172</v>
      </c>
      <c r="E29">
        <f t="shared" si="0"/>
        <v>14379</v>
      </c>
    </row>
    <row r="30" spans="1:5" x14ac:dyDescent="0.25">
      <c r="A30">
        <v>29</v>
      </c>
      <c r="B30">
        <v>9</v>
      </c>
      <c r="C30">
        <v>2485</v>
      </c>
      <c r="D30" t="s">
        <v>172</v>
      </c>
      <c r="E30">
        <f t="shared" si="0"/>
        <v>2485</v>
      </c>
    </row>
    <row r="31" spans="1:5" x14ac:dyDescent="0.25">
      <c r="A31">
        <v>30</v>
      </c>
      <c r="B31">
        <v>20</v>
      </c>
      <c r="C31">
        <v>17142</v>
      </c>
      <c r="D31" t="s">
        <v>172</v>
      </c>
      <c r="E31">
        <f t="shared" si="0"/>
        <v>17142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F436-D98B-45D3-844A-2BC0033FE5B1}">
  <dimension ref="A1:B4"/>
  <sheetViews>
    <sheetView tabSelected="1" workbookViewId="0">
      <selection activeCell="C4" sqref="C4"/>
    </sheetView>
  </sheetViews>
  <sheetFormatPr defaultRowHeight="15" x14ac:dyDescent="0.25"/>
  <cols>
    <col min="1" max="1" width="30.28515625" customWidth="1"/>
  </cols>
  <sheetData>
    <row r="1" spans="1:2" x14ac:dyDescent="0.25">
      <c r="A1" t="s">
        <v>197</v>
      </c>
      <c r="B1" t="s">
        <v>198</v>
      </c>
    </row>
    <row r="2" spans="1:2" x14ac:dyDescent="0.25">
      <c r="A2" t="s">
        <v>199</v>
      </c>
      <c r="B2">
        <v>50</v>
      </c>
    </row>
    <row r="3" spans="1:2" x14ac:dyDescent="0.25">
      <c r="A3" t="s">
        <v>200</v>
      </c>
      <c r="B3">
        <v>100</v>
      </c>
    </row>
    <row r="4" spans="1:2" x14ac:dyDescent="0.25">
      <c r="A4" t="s">
        <v>201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Pipeline</vt:lpstr>
      <vt:lpstr>Activities</vt:lpstr>
      <vt:lpstr>Deals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Iftikhar</dc:creator>
  <cp:lastModifiedBy>Mariam Iftikhar</cp:lastModifiedBy>
  <dcterms:created xsi:type="dcterms:W3CDTF">2026-04-28T19:02:36Z</dcterms:created>
  <dcterms:modified xsi:type="dcterms:W3CDTF">2026-04-28T19:05:11Z</dcterms:modified>
</cp:coreProperties>
</file>